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tas" sheetId="1" state="visible" r:id="rId3"/>
    <sheet name="AMS" sheetId="2" state="visible" r:id="rId4"/>
    <sheet name="AM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<sst xmlns="http://schemas.openxmlformats.org/spreadsheetml/2006/main" count="333" uniqueCount="158">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</sst>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4" t="s">
        <v>4</v>
      </c>
      <c r="B6" s="3" t="s">
        <v>5</v>
      </c>
    </row>
    <row r="7" customFormat="false" ht="15" hidden="false" customHeight="false" outlineLevel="0" collapsed="false">
      <c r="A7" s="3" t="s">
        <v>6</v>
      </c>
      <c r="B7" s="3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3" t="s">
        <v>9</v>
      </c>
      <c r="B10" s="3" t="s">
        <v>10</v>
      </c>
    </row>
    <row r="11" customFormat="false" ht="15" hidden="false" customHeight="false" outlineLevel="0" collapsed="false">
      <c r="A11" s="3" t="s">
        <v>9</v>
      </c>
      <c r="B11" s="3" t="s">
        <v>11</v>
      </c>
    </row>
    <row r="12" customFormat="false" ht="15" hidden="false" customHeight="false" outlineLevel="0" collapsed="false">
      <c r="A12" s="3" t="s">
        <v>9</v>
      </c>
      <c r="B12" s="3" t="s">
        <v>12</v>
      </c>
    </row>
    <row r="14" customFormat="false" ht="15" hidden="false" customHeight="false" outlineLevel="0" collapsed="false">
      <c r="A14" s="2" t="s">
        <v>13</v>
      </c>
      <c r="B14" s="3" t="s">
        <v>14</v>
      </c>
    </row>
    <row r="16" customFormat="false" ht="15" hidden="false" customHeight="false" outlineLevel="0" collapsed="false">
      <c r="A16" s="2" t="s">
        <v>15</v>
      </c>
      <c r="B16" s="3" t="s">
        <v>16</v>
      </c>
    </row>
    <row r="18" customFormat="false" ht="15" hidden="false" customHeight="false" outlineLevel="0" collapsed="false">
      <c r="A18" s="2" t="s">
        <v>17</v>
      </c>
    </row>
    <row r="19" customFormat="false" ht="30" hidden="false" customHeight="true" outlineLevel="0" collapsed="false">
      <c r="A19" s="3" t="s">
        <v>9</v>
      </c>
      <c r="B19" s="3" t="s">
        <v>18</v>
      </c>
    </row>
    <row r="20" customFormat="false" ht="30" hidden="false" customHeight="true" outlineLevel="0" collapsed="false">
      <c r="A20" s="3" t="s">
        <v>9</v>
      </c>
      <c r="B20" s="3" t="s">
        <v>19</v>
      </c>
    </row>
    <row r="21" customFormat="false" ht="30" hidden="false" customHeight="true" outlineLevel="0" collapsed="false">
      <c r="A21" s="3" t="s">
        <v>9</v>
      </c>
      <c r="B21" s="3" t="s">
        <v>20</v>
      </c>
    </row>
    <row r="22" customFormat="false" ht="30" hidden="false" customHeight="true" outlineLevel="0" collapsed="false">
      <c r="A22" s="3" t="s">
        <v>9</v>
      </c>
      <c r="B22" s="3" t="s">
        <v>21</v>
      </c>
    </row>
    <row r="23" customFormat="false" ht="30" hidden="false" customHeight="true" outlineLevel="0" collapsed="false">
      <c r="A23" s="3" t="s">
        <v>9</v>
      </c>
      <c r="B23" s="3" t="s">
        <v>22</v>
      </c>
    </row>
    <row r="24" customFormat="false" ht="30" hidden="false" customHeight="true" outlineLevel="0" collapsed="false">
      <c r="A24" s="3" t="s">
        <v>9</v>
      </c>
      <c r="B24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</cols>
  <sheetData>
    <row r="1" customFormat="false" ht="16.15" hidden="false" customHeight="false" outlineLevel="0" collapsed="false">
      <c r="A1" s="1" t="s">
        <v>24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20000</v>
      </c>
      <c r="C5" s="9" t="s">
        <v>31</v>
      </c>
      <c r="D5" s="9" t="s">
        <v>32</v>
      </c>
    </row>
    <row r="6" customFormat="false" ht="15" hidden="false" customHeight="false" outlineLevel="0" collapsed="false">
      <c r="A6" s="3" t="s">
        <v>33</v>
      </c>
      <c r="B6" s="8" t="n">
        <v>13000</v>
      </c>
      <c r="C6" s="9" t="s">
        <v>31</v>
      </c>
      <c r="D6" s="9" t="s">
        <v>34</v>
      </c>
    </row>
    <row r="7" customFormat="false" ht="15" hidden="false" customHeight="false" outlineLevel="0" collapsed="false">
      <c r="A7" s="3" t="s">
        <v>35</v>
      </c>
      <c r="B7" s="10" t="n">
        <f aca="false">B6-B5</f>
        <v>-7000</v>
      </c>
      <c r="C7" s="9" t="s">
        <v>36</v>
      </c>
      <c r="D7" s="9" t="s">
        <v>37</v>
      </c>
    </row>
    <row r="8" customFormat="false" ht="15" hidden="false" customHeight="false" outlineLevel="0" collapsed="false">
      <c r="A8" s="3" t="s">
        <v>38</v>
      </c>
      <c r="B8" s="4" t="s">
        <v>39</v>
      </c>
      <c r="C8" s="9" t="s">
        <v>31</v>
      </c>
      <c r="D8" s="9" t="s">
        <v>40</v>
      </c>
    </row>
    <row r="9" customFormat="false" ht="15" hidden="false" customHeight="false" outlineLevel="0" collapsed="false">
      <c r="A9" s="3" t="s">
        <v>41</v>
      </c>
      <c r="B9" s="8" t="n">
        <v>30000</v>
      </c>
      <c r="C9" s="9" t="s">
        <v>31</v>
      </c>
      <c r="D9" s="9" t="s">
        <v>42</v>
      </c>
    </row>
    <row r="10" customFormat="false" ht="15" hidden="false" customHeight="false" outlineLevel="0" collapsed="false">
      <c r="A10" s="3" t="s">
        <v>43</v>
      </c>
      <c r="B10" s="8" t="n">
        <v>70000</v>
      </c>
      <c r="C10" s="9" t="s">
        <v>31</v>
      </c>
      <c r="D10" s="9" t="s">
        <v>44</v>
      </c>
    </row>
    <row r="11" customFormat="false" ht="15" hidden="false" customHeight="false" outlineLevel="0" collapsed="false">
      <c r="A11" s="3" t="s">
        <v>45</v>
      </c>
      <c r="B11" s="8" t="n">
        <v>120000</v>
      </c>
      <c r="C11" s="9" t="s">
        <v>31</v>
      </c>
      <c r="D11" s="9" t="s">
        <v>46</v>
      </c>
    </row>
    <row r="12" customFormat="false" ht="15" hidden="false" customHeight="false" outlineLevel="0" collapsed="false">
      <c r="A12" s="3" t="s">
        <v>47</v>
      </c>
      <c r="B12" s="10" t="n">
        <f aca="false">B9+B10</f>
        <v>100000</v>
      </c>
      <c r="C12" s="9" t="s">
        <v>36</v>
      </c>
      <c r="D12" s="9"/>
    </row>
    <row r="13" customFormat="false" ht="15" hidden="false" customHeight="false" outlineLevel="0" collapsed="false">
      <c r="A13" s="3" t="s">
        <v>48</v>
      </c>
      <c r="B13" s="10" t="n">
        <f aca="false">B9+B11</f>
        <v>150000</v>
      </c>
      <c r="C13" s="9" t="s">
        <v>36</v>
      </c>
      <c r="D13" s="9"/>
    </row>
    <row r="14" customFormat="false" ht="15" hidden="false" customHeight="false" outlineLevel="0" collapsed="false">
      <c r="A14" s="3" t="s">
        <v>49</v>
      </c>
      <c r="B14" s="8" t="n">
        <v>83100</v>
      </c>
      <c r="C14" s="9" t="s">
        <v>50</v>
      </c>
      <c r="D14" s="9" t="s">
        <v>51</v>
      </c>
    </row>
    <row r="15" customFormat="false" ht="15" hidden="false" customHeight="false" outlineLevel="0" collapsed="false">
      <c r="A15" s="3" t="s">
        <v>52</v>
      </c>
      <c r="B15" s="8" t="n">
        <v>89230.77</v>
      </c>
      <c r="C15" s="9" t="s">
        <v>50</v>
      </c>
      <c r="D15" s="9" t="s">
        <v>53</v>
      </c>
    </row>
    <row r="16" customFormat="false" ht="15" hidden="false" customHeight="false" outlineLevel="0" collapsed="false">
      <c r="A16" s="3" t="s">
        <v>54</v>
      </c>
      <c r="B16" s="10" t="n">
        <f aca="false">SUM(B14:B15)</f>
        <v>172330.77</v>
      </c>
      <c r="C16" s="9" t="s">
        <v>36</v>
      </c>
      <c r="D16" s="9"/>
    </row>
    <row r="17" customFormat="false" ht="15" hidden="false" customHeight="false" outlineLevel="0" collapsed="false">
      <c r="A17" s="3" t="s">
        <v>55</v>
      </c>
      <c r="B17" s="10" t="n">
        <f aca="false">B16-B9</f>
        <v>142330.77</v>
      </c>
      <c r="C17" s="9" t="s">
        <v>36</v>
      </c>
      <c r="D17" s="9"/>
    </row>
    <row r="18" customFormat="false" ht="15" hidden="false" customHeight="false" outlineLevel="0" collapsed="false">
      <c r="A18" s="3" t="s">
        <v>56</v>
      </c>
      <c r="B18" s="10" t="n">
        <f aca="false">B16-B12</f>
        <v>72330.77</v>
      </c>
      <c r="C18" s="9" t="s">
        <v>36</v>
      </c>
      <c r="D18" s="9"/>
    </row>
    <row r="19" customFormat="false" ht="15" hidden="false" customHeight="false" outlineLevel="0" collapsed="false">
      <c r="A19" s="3" t="s">
        <v>57</v>
      </c>
      <c r="B19" s="10" t="n">
        <f aca="false">B16-B13</f>
        <v>22330.77</v>
      </c>
      <c r="C19" s="9" t="s">
        <v>36</v>
      </c>
      <c r="D19" s="9" t="s">
        <v>58</v>
      </c>
    </row>
    <row r="20" customFormat="false" ht="15" hidden="false" customHeight="false" outlineLevel="0" collapsed="false">
      <c r="A20" s="3" t="s">
        <v>59</v>
      </c>
      <c r="B20" s="10" t="n">
        <f aca="false">B17-B10</f>
        <v>72330.77</v>
      </c>
      <c r="C20" s="9" t="s">
        <v>36</v>
      </c>
      <c r="D20" s="9"/>
    </row>
    <row r="21" customFormat="false" ht="15" hidden="false" customHeight="false" outlineLevel="0" collapsed="false">
      <c r="A21" s="3" t="s">
        <v>60</v>
      </c>
      <c r="B21" s="10" t="n">
        <f aca="false">B17-B11</f>
        <v>22330.77</v>
      </c>
      <c r="C21" s="9" t="s">
        <v>36</v>
      </c>
      <c r="D21" s="9"/>
    </row>
    <row r="23" customFormat="false" ht="15" hidden="false" customHeight="false" outlineLevel="0" collapsed="false">
      <c r="A23" s="5" t="s">
        <v>61</v>
      </c>
      <c r="B23" s="6"/>
      <c r="C23" s="6"/>
      <c r="D23" s="6"/>
    </row>
    <row r="24" customFormat="false" ht="15" hidden="false" customHeight="false" outlineLevel="0" collapsed="false">
      <c r="A24" s="7" t="s">
        <v>26</v>
      </c>
      <c r="B24" s="7" t="s">
        <v>27</v>
      </c>
      <c r="C24" s="7" t="s">
        <v>28</v>
      </c>
      <c r="D24" s="7" t="s">
        <v>29</v>
      </c>
    </row>
    <row r="25" customFormat="false" ht="15" hidden="false" customHeight="false" outlineLevel="0" collapsed="false">
      <c r="A25" s="3" t="s">
        <v>62</v>
      </c>
      <c r="B25" s="4" t="s">
        <v>63</v>
      </c>
      <c r="C25" s="9" t="s">
        <v>64</v>
      </c>
      <c r="D25" s="9" t="s">
        <v>65</v>
      </c>
    </row>
    <row r="27" customFormat="false" ht="15" hidden="false" customHeight="false" outlineLevel="0" collapsed="false">
      <c r="A27" s="5" t="s">
        <v>66</v>
      </c>
      <c r="B27" s="6"/>
      <c r="C27" s="6"/>
      <c r="D27" s="6"/>
    </row>
    <row r="28" customFormat="false" ht="15" hidden="false" customHeight="false" outlineLevel="0" collapsed="false">
      <c r="A28" s="7" t="s">
        <v>26</v>
      </c>
      <c r="B28" s="7" t="s">
        <v>27</v>
      </c>
      <c r="C28" s="7" t="s">
        <v>28</v>
      </c>
      <c r="D28" s="7" t="s">
        <v>29</v>
      </c>
    </row>
    <row r="29" customFormat="false" ht="15" hidden="false" customHeight="false" outlineLevel="0" collapsed="false">
      <c r="A29" s="3" t="s">
        <v>67</v>
      </c>
      <c r="B29" s="8" t="n">
        <v>6000</v>
      </c>
      <c r="C29" s="9" t="s">
        <v>31</v>
      </c>
      <c r="D29" s="9"/>
    </row>
    <row r="30" customFormat="false" ht="15" hidden="false" customHeight="false" outlineLevel="0" collapsed="false">
      <c r="A30" s="3" t="s">
        <v>68</v>
      </c>
      <c r="B30" s="8" t="n">
        <v>5000</v>
      </c>
      <c r="C30" s="9" t="s">
        <v>31</v>
      </c>
      <c r="D30" s="9"/>
    </row>
    <row r="31" customFormat="false" ht="15" hidden="false" customHeight="false" outlineLevel="0" collapsed="false">
      <c r="A31" s="3" t="s">
        <v>69</v>
      </c>
      <c r="B31" s="8" t="n">
        <v>2000</v>
      </c>
      <c r="C31" s="9" t="s">
        <v>31</v>
      </c>
      <c r="D31" s="9"/>
    </row>
    <row r="32" customFormat="false" ht="15" hidden="false" customHeight="false" outlineLevel="0" collapsed="false">
      <c r="A32" s="3" t="s">
        <v>70</v>
      </c>
      <c r="B32" s="10" t="n">
        <f aca="false">SUM(B29:B31)</f>
        <v>13000</v>
      </c>
      <c r="C32" s="9" t="s">
        <v>36</v>
      </c>
      <c r="D32" s="9"/>
    </row>
    <row r="33" customFormat="false" ht="15" hidden="false" customHeight="false" outlineLevel="0" collapsed="false">
      <c r="A33" s="3" t="s">
        <v>71</v>
      </c>
      <c r="B33" s="11" t="n">
        <f aca="false">B29/B32</f>
        <v>0.461538461538462</v>
      </c>
      <c r="C33" s="9" t="s">
        <v>36</v>
      </c>
      <c r="D33" s="9"/>
    </row>
    <row r="34" customFormat="false" ht="15" hidden="false" customHeight="false" outlineLevel="0" collapsed="false">
      <c r="A34" s="3" t="s">
        <v>72</v>
      </c>
      <c r="B34" s="11" t="n">
        <f aca="false">B30/B32</f>
        <v>0.384615384615385</v>
      </c>
      <c r="C34" s="9" t="s">
        <v>36</v>
      </c>
      <c r="D34" s="9"/>
    </row>
    <row r="35" customFormat="false" ht="15" hidden="false" customHeight="false" outlineLevel="0" collapsed="false">
      <c r="A35" s="3" t="s">
        <v>73</v>
      </c>
      <c r="B35" s="11" t="n">
        <f aca="false">B31/B32</f>
        <v>0.153846153846154</v>
      </c>
      <c r="C35" s="9" t="s">
        <v>36</v>
      </c>
      <c r="D35" s="9"/>
    </row>
    <row r="36" customFormat="false" ht="15" hidden="false" customHeight="false" outlineLevel="0" collapsed="false">
      <c r="A36" s="3" t="s">
        <v>74</v>
      </c>
      <c r="B36" s="4" t="s">
        <v>75</v>
      </c>
      <c r="C36" s="9" t="s">
        <v>31</v>
      </c>
      <c r="D36" s="9" t="s">
        <v>76</v>
      </c>
    </row>
    <row r="38" customFormat="false" ht="15" hidden="false" customHeight="false" outlineLevel="0" collapsed="false">
      <c r="A38" s="5" t="s">
        <v>77</v>
      </c>
      <c r="B38" s="6"/>
      <c r="C38" s="6"/>
      <c r="D38" s="6"/>
    </row>
    <row r="39" customFormat="false" ht="15" hidden="false" customHeight="false" outlineLevel="0" collapsed="false">
      <c r="A39" s="7" t="s">
        <v>26</v>
      </c>
      <c r="B39" s="7" t="s">
        <v>27</v>
      </c>
      <c r="C39" s="7" t="s">
        <v>28</v>
      </c>
      <c r="D39" s="7" t="s">
        <v>29</v>
      </c>
    </row>
    <row r="40" customFormat="false" ht="15" hidden="false" customHeight="false" outlineLevel="0" collapsed="false">
      <c r="A40" s="3" t="s">
        <v>78</v>
      </c>
      <c r="B40" s="8" t="n">
        <v>872837.88</v>
      </c>
      <c r="C40" s="9" t="s">
        <v>50</v>
      </c>
      <c r="D40" s="9"/>
    </row>
    <row r="41" customFormat="false" ht="15" hidden="false" customHeight="false" outlineLevel="0" collapsed="false">
      <c r="A41" s="3" t="s">
        <v>79</v>
      </c>
      <c r="B41" s="8" t="n">
        <v>89230.77</v>
      </c>
      <c r="C41" s="9" t="s">
        <v>50</v>
      </c>
      <c r="D41" s="9"/>
    </row>
    <row r="42" customFormat="false" ht="15" hidden="false" customHeight="false" outlineLevel="0" collapsed="false">
      <c r="A42" s="3" t="s">
        <v>80</v>
      </c>
      <c r="B42" s="8" t="n">
        <v>111570.37</v>
      </c>
      <c r="C42" s="9" t="s">
        <v>50</v>
      </c>
      <c r="D42" s="9"/>
    </row>
    <row r="43" customFormat="false" ht="15" hidden="false" customHeight="false" outlineLevel="0" collapsed="false">
      <c r="A43" s="3" t="s">
        <v>81</v>
      </c>
      <c r="B43" s="8" t="n">
        <v>100000</v>
      </c>
      <c r="C43" s="9" t="s">
        <v>50</v>
      </c>
      <c r="D43" s="9"/>
    </row>
    <row r="44" customFormat="false" ht="15" hidden="false" customHeight="false" outlineLevel="0" collapsed="false">
      <c r="A44" s="3" t="s">
        <v>82</v>
      </c>
      <c r="B44" s="8" t="n">
        <v>83100</v>
      </c>
      <c r="C44" s="9" t="s">
        <v>50</v>
      </c>
      <c r="D44" s="9"/>
    </row>
    <row r="45" customFormat="false" ht="15" hidden="false" customHeight="false" outlineLevel="0" collapsed="false">
      <c r="A45" s="12" t="s">
        <v>83</v>
      </c>
      <c r="B45" s="13" t="n">
        <f aca="false">SUM(B40:B44)</f>
        <v>1256739.02</v>
      </c>
      <c r="C45" s="14" t="s">
        <v>36</v>
      </c>
      <c r="D45" s="14"/>
    </row>
    <row r="46" customFormat="false" ht="15" hidden="false" customHeight="false" outlineLevel="0" collapsed="false">
      <c r="A46" s="3" t="s">
        <v>84</v>
      </c>
      <c r="B46" s="11" t="n">
        <f aca="false">B40/B45</f>
        <v>0.694525964507731</v>
      </c>
      <c r="C46" s="9" t="s">
        <v>36</v>
      </c>
      <c r="D46" s="9"/>
    </row>
    <row r="47" customFormat="false" ht="15" hidden="false" customHeight="false" outlineLevel="0" collapsed="false">
      <c r="A47" s="3" t="s">
        <v>85</v>
      </c>
      <c r="B47" s="11" t="n">
        <f aca="false">B41/B45</f>
        <v>0.0710018297991575</v>
      </c>
      <c r="C47" s="9" t="s">
        <v>36</v>
      </c>
      <c r="D47" s="9"/>
    </row>
    <row r="48" customFormat="false" ht="15" hidden="false" customHeight="false" outlineLevel="0" collapsed="false">
      <c r="A48" s="3" t="s">
        <v>86</v>
      </c>
      <c r="B48" s="11" t="n">
        <f aca="false">B42/B45</f>
        <v>0.0887776763707074</v>
      </c>
      <c r="C48" s="9" t="s">
        <v>36</v>
      </c>
      <c r="D48" s="9"/>
    </row>
    <row r="49" customFormat="false" ht="15" hidden="false" customHeight="false" outlineLevel="0" collapsed="false">
      <c r="A49" s="3" t="s">
        <v>87</v>
      </c>
      <c r="B49" s="11" t="n">
        <f aca="false">B43/B45</f>
        <v>0.0795710154682712</v>
      </c>
      <c r="C49" s="9" t="s">
        <v>36</v>
      </c>
      <c r="D49" s="9"/>
    </row>
    <row r="50" customFormat="false" ht="15" hidden="false" customHeight="false" outlineLevel="0" collapsed="false">
      <c r="A50" s="3" t="s">
        <v>88</v>
      </c>
      <c r="B50" s="11" t="n">
        <f aca="false">B44/B45</f>
        <v>0.0661235138541334</v>
      </c>
      <c r="C50" s="9" t="s">
        <v>36</v>
      </c>
      <c r="D50" s="9"/>
    </row>
    <row r="51" customFormat="false" ht="15" hidden="false" customHeight="false" outlineLevel="0" collapsed="false">
      <c r="A51" s="3" t="s">
        <v>89</v>
      </c>
      <c r="B51" s="4" t="s">
        <v>75</v>
      </c>
      <c r="C51" s="9" t="s">
        <v>31</v>
      </c>
      <c r="D51" s="9" t="s">
        <v>90</v>
      </c>
    </row>
    <row r="53" customFormat="false" ht="15" hidden="false" customHeight="false" outlineLevel="0" collapsed="false">
      <c r="A53" s="5" t="s">
        <v>91</v>
      </c>
      <c r="B53" s="6"/>
      <c r="C53" s="6"/>
      <c r="D53" s="6"/>
    </row>
    <row r="54" customFormat="false" ht="15" hidden="false" customHeight="false" outlineLevel="0" collapsed="false">
      <c r="A54" s="7" t="s">
        <v>26</v>
      </c>
      <c r="B54" s="7" t="s">
        <v>27</v>
      </c>
      <c r="C54" s="7" t="s">
        <v>28</v>
      </c>
      <c r="D54" s="7" t="s">
        <v>29</v>
      </c>
    </row>
    <row r="55" customFormat="false" ht="15" hidden="false" customHeight="false" outlineLevel="0" collapsed="false">
      <c r="A55" s="3" t="s">
        <v>92</v>
      </c>
      <c r="B55" s="4" t="s">
        <v>93</v>
      </c>
      <c r="C55" s="9" t="s">
        <v>31</v>
      </c>
      <c r="D55" s="9" t="s">
        <v>94</v>
      </c>
    </row>
    <row r="56" customFormat="false" ht="15" hidden="false" customHeight="false" outlineLevel="0" collapsed="false">
      <c r="A56" s="3" t="s">
        <v>95</v>
      </c>
      <c r="B56" s="4" t="s">
        <v>96</v>
      </c>
      <c r="C56" s="9" t="s">
        <v>31</v>
      </c>
      <c r="D56" s="9" t="s">
        <v>97</v>
      </c>
    </row>
    <row r="58" customFormat="false" ht="15" hidden="false" customHeight="false" outlineLevel="0" collapsed="false">
      <c r="A58" s="5" t="s">
        <v>98</v>
      </c>
      <c r="B58" s="6"/>
      <c r="C58" s="6"/>
      <c r="D58" s="6"/>
    </row>
    <row r="59" customFormat="false" ht="15" hidden="false" customHeight="false" outlineLevel="0" collapsed="false">
      <c r="A59" s="7" t="s">
        <v>26</v>
      </c>
      <c r="B59" s="7" t="s">
        <v>27</v>
      </c>
      <c r="C59" s="7" t="s">
        <v>28</v>
      </c>
      <c r="D59" s="7" t="s">
        <v>29</v>
      </c>
    </row>
    <row r="60" customFormat="false" ht="15" hidden="false" customHeight="false" outlineLevel="0" collapsed="false">
      <c r="A60" s="3" t="s">
        <v>99</v>
      </c>
      <c r="B60" s="8" t="n">
        <v>-215092</v>
      </c>
      <c r="C60" s="9" t="s">
        <v>50</v>
      </c>
      <c r="D60" s="9" t="s">
        <v>100</v>
      </c>
    </row>
    <row r="61" customFormat="false" ht="15" hidden="false" customHeight="false" outlineLevel="0" collapsed="false">
      <c r="A61" s="3" t="s">
        <v>101</v>
      </c>
      <c r="B61" s="4" t="s">
        <v>102</v>
      </c>
      <c r="C61" s="9" t="s">
        <v>31</v>
      </c>
      <c r="D61" s="9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16.15" hidden="false" customHeight="false" outlineLevel="0" collapsed="false">
      <c r="A1" s="1" t="s">
        <v>104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32500</v>
      </c>
      <c r="C5" s="9" t="s">
        <v>31</v>
      </c>
      <c r="D5" s="9" t="s">
        <v>105</v>
      </c>
    </row>
    <row r="6" customFormat="false" ht="15" hidden="false" customHeight="false" outlineLevel="0" collapsed="false">
      <c r="A6" s="3" t="s">
        <v>33</v>
      </c>
      <c r="B6" s="8" t="n">
        <v>80000</v>
      </c>
      <c r="C6" s="9" t="s">
        <v>31</v>
      </c>
      <c r="D6" s="9" t="s">
        <v>106</v>
      </c>
    </row>
    <row r="7" customFormat="false" ht="15" hidden="false" customHeight="false" outlineLevel="0" collapsed="false">
      <c r="A7" s="3" t="s">
        <v>107</v>
      </c>
      <c r="B7" s="10" t="n">
        <f aca="false">B6-B5</f>
        <v>47500</v>
      </c>
      <c r="C7" s="9" t="s">
        <v>36</v>
      </c>
      <c r="D7" s="9" t="s">
        <v>108</v>
      </c>
    </row>
    <row r="8" customFormat="false" ht="15" hidden="false" customHeight="false" outlineLevel="0" collapsed="false">
      <c r="A8" s="3" t="s">
        <v>41</v>
      </c>
      <c r="B8" s="8" t="n">
        <v>125000</v>
      </c>
      <c r="C8" s="9" t="s">
        <v>31</v>
      </c>
      <c r="D8" s="9" t="s">
        <v>109</v>
      </c>
    </row>
    <row r="9" customFormat="false" ht="15" hidden="false" customHeight="false" outlineLevel="0" collapsed="false">
      <c r="A9" s="3" t="s">
        <v>43</v>
      </c>
      <c r="B9" s="8" t="n">
        <v>125000</v>
      </c>
      <c r="C9" s="9" t="s">
        <v>31</v>
      </c>
      <c r="D9" s="9"/>
    </row>
    <row r="10" customFormat="false" ht="15" hidden="false" customHeight="false" outlineLevel="0" collapsed="false">
      <c r="A10" s="3" t="s">
        <v>45</v>
      </c>
      <c r="B10" s="8" t="n">
        <v>175000</v>
      </c>
      <c r="C10" s="9" t="s">
        <v>31</v>
      </c>
      <c r="D10" s="9"/>
    </row>
    <row r="11" customFormat="false" ht="15" hidden="false" customHeight="false" outlineLevel="0" collapsed="false">
      <c r="A11" s="3" t="s">
        <v>47</v>
      </c>
      <c r="B11" s="10" t="n">
        <f aca="false">B8+B9</f>
        <v>250000</v>
      </c>
      <c r="C11" s="9" t="s">
        <v>36</v>
      </c>
      <c r="D11" s="9"/>
    </row>
    <row r="12" customFormat="false" ht="15" hidden="false" customHeight="false" outlineLevel="0" collapsed="false">
      <c r="A12" s="3" t="s">
        <v>48</v>
      </c>
      <c r="B12" s="10" t="n">
        <f aca="false">B8+B10</f>
        <v>300000</v>
      </c>
      <c r="C12" s="9" t="s">
        <v>36</v>
      </c>
      <c r="D12" s="9" t="s">
        <v>110</v>
      </c>
    </row>
    <row r="13" customFormat="false" ht="15" hidden="false" customHeight="false" outlineLevel="0" collapsed="false">
      <c r="A13" s="3" t="s">
        <v>49</v>
      </c>
      <c r="B13" s="8" t="n">
        <v>54375</v>
      </c>
      <c r="C13" s="9" t="s">
        <v>111</v>
      </c>
      <c r="D13" s="9"/>
    </row>
    <row r="14" customFormat="false" ht="15" hidden="false" customHeight="false" outlineLevel="0" collapsed="false">
      <c r="A14" s="3" t="s">
        <v>112</v>
      </c>
      <c r="B14" s="8" t="n">
        <v>60000</v>
      </c>
      <c r="C14" s="9" t="s">
        <v>111</v>
      </c>
      <c r="D14" s="9" t="s">
        <v>113</v>
      </c>
    </row>
    <row r="15" customFormat="false" ht="15" hidden="false" customHeight="false" outlineLevel="0" collapsed="false">
      <c r="A15" s="3" t="s">
        <v>114</v>
      </c>
      <c r="B15" s="8" t="n">
        <v>85000</v>
      </c>
      <c r="C15" s="9" t="s">
        <v>111</v>
      </c>
      <c r="D15" s="9" t="s">
        <v>115</v>
      </c>
    </row>
    <row r="16" customFormat="false" ht="15" hidden="false" customHeight="false" outlineLevel="0" collapsed="false">
      <c r="A16" s="3" t="s">
        <v>52</v>
      </c>
      <c r="B16" s="8" t="n">
        <v>0</v>
      </c>
      <c r="C16" s="9" t="s">
        <v>31</v>
      </c>
      <c r="D16" s="9" t="s">
        <v>116</v>
      </c>
    </row>
    <row r="17" customFormat="false" ht="15" hidden="false" customHeight="false" outlineLevel="0" collapsed="false">
      <c r="A17" s="3" t="s">
        <v>54</v>
      </c>
      <c r="B17" s="10" t="n">
        <f aca="false">SUM(B13:B16)</f>
        <v>199375</v>
      </c>
      <c r="C17" s="9" t="s">
        <v>36</v>
      </c>
      <c r="D17" s="9"/>
    </row>
    <row r="18" customFormat="false" ht="15" hidden="false" customHeight="false" outlineLevel="0" collapsed="false">
      <c r="A18" s="3" t="s">
        <v>55</v>
      </c>
      <c r="B18" s="10" t="n">
        <f aca="false">B17-B8</f>
        <v>74375</v>
      </c>
      <c r="C18" s="9" t="s">
        <v>36</v>
      </c>
      <c r="D18" s="9"/>
    </row>
    <row r="19" customFormat="false" ht="15" hidden="false" customHeight="false" outlineLevel="0" collapsed="false">
      <c r="A19" s="3" t="s">
        <v>56</v>
      </c>
      <c r="B19" s="10" t="n">
        <f aca="false">B17-B11</f>
        <v>-50625</v>
      </c>
      <c r="C19" s="9" t="s">
        <v>36</v>
      </c>
      <c r="D19" s="9"/>
    </row>
    <row r="20" customFormat="false" ht="15" hidden="false" customHeight="false" outlineLevel="0" collapsed="false">
      <c r="A20" s="3" t="s">
        <v>57</v>
      </c>
      <c r="B20" s="10" t="n">
        <f aca="false">B17-B12</f>
        <v>-100625</v>
      </c>
      <c r="C20" s="9" t="s">
        <v>36</v>
      </c>
      <c r="D20" s="9"/>
    </row>
    <row r="21" customFormat="false" ht="15" hidden="false" customHeight="false" outlineLevel="0" collapsed="false">
      <c r="A21" s="3" t="s">
        <v>59</v>
      </c>
      <c r="B21" s="10" t="n">
        <f aca="false">B18-B9</f>
        <v>-50625</v>
      </c>
      <c r="C21" s="9" t="s">
        <v>36</v>
      </c>
      <c r="D21" s="9" t="s">
        <v>117</v>
      </c>
    </row>
    <row r="22" customFormat="false" ht="15" hidden="false" customHeight="false" outlineLevel="0" collapsed="false">
      <c r="A22" s="3" t="s">
        <v>60</v>
      </c>
      <c r="B22" s="10" t="n">
        <f aca="false">B18-B10</f>
        <v>-100625</v>
      </c>
      <c r="C22" s="9" t="s">
        <v>36</v>
      </c>
      <c r="D22" s="9"/>
    </row>
    <row r="24" customFormat="false" ht="15" hidden="false" customHeight="false" outlineLevel="0" collapsed="false">
      <c r="A24" s="5" t="s">
        <v>61</v>
      </c>
      <c r="B24" s="6"/>
      <c r="C24" s="6"/>
      <c r="D24" s="6"/>
    </row>
    <row r="25" customFormat="false" ht="15" hidden="false" customHeight="false" outlineLevel="0" collapsed="false">
      <c r="A25" s="7" t="s">
        <v>26</v>
      </c>
      <c r="B25" s="7" t="s">
        <v>27</v>
      </c>
      <c r="C25" s="7" t="s">
        <v>28</v>
      </c>
      <c r="D25" s="7" t="s">
        <v>29</v>
      </c>
    </row>
    <row r="26" customFormat="false" ht="15" hidden="false" customHeight="false" outlineLevel="0" collapsed="false">
      <c r="A26" s="3" t="s">
        <v>62</v>
      </c>
      <c r="B26" s="4" t="s">
        <v>63</v>
      </c>
      <c r="C26" s="9" t="s">
        <v>64</v>
      </c>
      <c r="D26" s="9" t="s">
        <v>65</v>
      </c>
    </row>
    <row r="28" customFormat="false" ht="15" hidden="false" customHeight="false" outlineLevel="0" collapsed="false">
      <c r="A28" s="5" t="s">
        <v>66</v>
      </c>
      <c r="B28" s="6"/>
      <c r="C28" s="6"/>
      <c r="D28" s="6"/>
    </row>
    <row r="29" customFormat="false" ht="15" hidden="false" customHeight="false" outlineLevel="0" collapsed="false">
      <c r="A29" s="7" t="s">
        <v>26</v>
      </c>
      <c r="B29" s="7" t="s">
        <v>27</v>
      </c>
      <c r="C29" s="7" t="s">
        <v>28</v>
      </c>
      <c r="D29" s="7" t="s">
        <v>29</v>
      </c>
    </row>
    <row r="30" customFormat="false" ht="15" hidden="false" customHeight="false" outlineLevel="0" collapsed="false">
      <c r="A30" s="3" t="s">
        <v>118</v>
      </c>
      <c r="B30" s="8" t="n">
        <v>60000</v>
      </c>
      <c r="C30" s="9" t="s">
        <v>31</v>
      </c>
      <c r="D30" s="9" t="s">
        <v>119</v>
      </c>
    </row>
    <row r="31" customFormat="false" ht="15" hidden="false" customHeight="false" outlineLevel="0" collapsed="false">
      <c r="A31" s="3" t="s">
        <v>120</v>
      </c>
      <c r="B31" s="8" t="n">
        <v>20000</v>
      </c>
      <c r="C31" s="9" t="s">
        <v>31</v>
      </c>
      <c r="D31" s="9"/>
    </row>
    <row r="32" customFormat="false" ht="15" hidden="false" customHeight="false" outlineLevel="0" collapsed="false">
      <c r="A32" s="3" t="s">
        <v>70</v>
      </c>
      <c r="B32" s="10" t="n">
        <f aca="false">SUM(B30:B31)</f>
        <v>80000</v>
      </c>
      <c r="C32" s="9" t="s">
        <v>36</v>
      </c>
      <c r="D32" s="9"/>
    </row>
    <row r="33" customFormat="false" ht="15" hidden="false" customHeight="false" outlineLevel="0" collapsed="false">
      <c r="A33" s="3" t="s">
        <v>121</v>
      </c>
      <c r="B33" s="11" t="n">
        <f aca="false">B30/B32</f>
        <v>0.75</v>
      </c>
      <c r="C33" s="9" t="s">
        <v>36</v>
      </c>
      <c r="D33" s="9"/>
    </row>
    <row r="34" customFormat="false" ht="15" hidden="false" customHeight="false" outlineLevel="0" collapsed="false">
      <c r="A34" s="3" t="s">
        <v>122</v>
      </c>
      <c r="B34" s="11" t="n">
        <f aca="false">B31/B32</f>
        <v>0.25</v>
      </c>
      <c r="C34" s="9" t="s">
        <v>36</v>
      </c>
      <c r="D34" s="9"/>
    </row>
    <row r="35" customFormat="false" ht="15" hidden="false" customHeight="false" outlineLevel="0" collapsed="false">
      <c r="A35" s="3" t="s">
        <v>74</v>
      </c>
      <c r="B35" s="4" t="s">
        <v>75</v>
      </c>
      <c r="C35" s="9" t="s">
        <v>31</v>
      </c>
      <c r="D35" s="9" t="s">
        <v>123</v>
      </c>
    </row>
    <row r="37" customFormat="false" ht="15" hidden="false" customHeight="false" outlineLevel="0" collapsed="false">
      <c r="A37" s="5" t="s">
        <v>77</v>
      </c>
      <c r="B37" s="6"/>
      <c r="C37" s="6"/>
      <c r="D37" s="6"/>
    </row>
    <row r="38" customFormat="false" ht="15" hidden="false" customHeight="fals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false" outlineLevel="0" collapsed="false">
      <c r="A39" s="3" t="s">
        <v>124</v>
      </c>
      <c r="B39" s="8" t="n">
        <v>2183088.49</v>
      </c>
      <c r="C39" s="9" t="s">
        <v>111</v>
      </c>
      <c r="D39" s="9"/>
    </row>
    <row r="40" customFormat="false" ht="15" hidden="false" customHeight="false" outlineLevel="0" collapsed="false">
      <c r="A40" s="3" t="s">
        <v>125</v>
      </c>
      <c r="B40" s="8" t="n">
        <v>1157519.11</v>
      </c>
      <c r="C40" s="9" t="s">
        <v>111</v>
      </c>
      <c r="D40" s="9" t="s">
        <v>126</v>
      </c>
    </row>
    <row r="41" customFormat="false" ht="15" hidden="false" customHeight="false" outlineLevel="0" collapsed="false">
      <c r="A41" s="3" t="s">
        <v>127</v>
      </c>
      <c r="B41" s="8" t="n">
        <v>538013.75</v>
      </c>
      <c r="C41" s="9" t="s">
        <v>111</v>
      </c>
      <c r="D41" s="9"/>
    </row>
    <row r="42" customFormat="false" ht="15" hidden="false" customHeight="false" outlineLevel="0" collapsed="false">
      <c r="A42" s="3" t="s">
        <v>128</v>
      </c>
      <c r="B42" s="8" t="n">
        <v>139351.5</v>
      </c>
      <c r="C42" s="9" t="s">
        <v>111</v>
      </c>
      <c r="D42" s="9"/>
    </row>
    <row r="43" customFormat="false" ht="15" hidden="false" customHeight="false" outlineLevel="0" collapsed="false">
      <c r="A43" s="3" t="s">
        <v>129</v>
      </c>
      <c r="B43" s="8" t="n">
        <v>199375</v>
      </c>
      <c r="C43" s="9" t="s">
        <v>111</v>
      </c>
      <c r="D43" s="9"/>
    </row>
    <row r="44" customFormat="false" ht="15" hidden="false" customHeight="false" outlineLevel="0" collapsed="false">
      <c r="A44" s="12" t="s">
        <v>83</v>
      </c>
      <c r="B44" s="13" t="n">
        <f aca="false">SUM(B39:B43)</f>
        <v>4217347.85</v>
      </c>
      <c r="C44" s="14" t="s">
        <v>36</v>
      </c>
      <c r="D44" s="14"/>
    </row>
    <row r="45" customFormat="false" ht="15" hidden="false" customHeight="false" outlineLevel="0" collapsed="false">
      <c r="A45" s="3" t="s">
        <v>130</v>
      </c>
      <c r="B45" s="11" t="n">
        <f aca="false">B39/B44</f>
        <v>0.517644872475957</v>
      </c>
      <c r="C45" s="9" t="s">
        <v>36</v>
      </c>
      <c r="D45" s="9"/>
    </row>
    <row r="46" customFormat="false" ht="15" hidden="false" customHeight="false" outlineLevel="0" collapsed="false">
      <c r="A46" s="3" t="s">
        <v>131</v>
      </c>
      <c r="B46" s="11" t="n">
        <f aca="false">B40/B44</f>
        <v>0.274466122115111</v>
      </c>
      <c r="C46" s="9" t="s">
        <v>36</v>
      </c>
      <c r="D46" s="9"/>
    </row>
    <row r="47" customFormat="false" ht="15" hidden="false" customHeight="false" outlineLevel="0" collapsed="false">
      <c r="A47" s="3" t="s">
        <v>132</v>
      </c>
      <c r="B47" s="11" t="n">
        <f aca="false">B41/B44</f>
        <v>0.127571585066193</v>
      </c>
      <c r="C47" s="9" t="s">
        <v>36</v>
      </c>
      <c r="D47" s="9"/>
    </row>
    <row r="48" customFormat="false" ht="15" hidden="false" customHeight="false" outlineLevel="0" collapsed="false">
      <c r="A48" s="3" t="s">
        <v>86</v>
      </c>
      <c r="B48" s="11" t="n">
        <f aca="false">B42/B44</f>
        <v>0.0330424487038697</v>
      </c>
      <c r="C48" s="9" t="s">
        <v>36</v>
      </c>
      <c r="D48" s="9"/>
    </row>
    <row r="49" customFormat="false" ht="15" hidden="false" customHeight="false" outlineLevel="0" collapsed="false">
      <c r="A49" s="3" t="s">
        <v>133</v>
      </c>
      <c r="B49" s="11" t="n">
        <f aca="false">B43/B44</f>
        <v>0.0472749716388701</v>
      </c>
      <c r="C49" s="9" t="s">
        <v>36</v>
      </c>
      <c r="D49" s="9"/>
    </row>
    <row r="51" customFormat="false" ht="15" hidden="false" customHeight="false" outlineLevel="0" collapsed="false">
      <c r="A51" s="2" t="s">
        <v>134</v>
      </c>
    </row>
    <row r="52" customFormat="false" ht="15" hidden="false" customHeight="false" outlineLevel="0" collapsed="false">
      <c r="A52" s="3" t="s">
        <v>135</v>
      </c>
      <c r="B52" s="8" t="n">
        <v>356040</v>
      </c>
      <c r="C52" s="9" t="s">
        <v>136</v>
      </c>
      <c r="D52" s="9"/>
    </row>
    <row r="53" customFormat="false" ht="15" hidden="false" customHeight="false" outlineLevel="0" collapsed="false">
      <c r="A53" s="3" t="s">
        <v>137</v>
      </c>
      <c r="B53" s="8" t="n">
        <v>125804.4</v>
      </c>
      <c r="C53" s="9" t="s">
        <v>136</v>
      </c>
      <c r="D53" s="9"/>
    </row>
    <row r="54" customFormat="false" ht="15" hidden="false" customHeight="false" outlineLevel="0" collapsed="false">
      <c r="A54" s="3" t="s">
        <v>138</v>
      </c>
      <c r="B54" s="8" t="n">
        <v>56169.35</v>
      </c>
      <c r="C54" s="9" t="s">
        <v>136</v>
      </c>
      <c r="D54" s="9"/>
    </row>
    <row r="55" customFormat="false" ht="15" hidden="false" customHeight="false" outlineLevel="0" collapsed="false">
      <c r="A55" s="3" t="s">
        <v>139</v>
      </c>
      <c r="B55" s="11" t="n">
        <f aca="false">B52/B41</f>
        <v>0.661767473414945</v>
      </c>
      <c r="C55" s="9" t="s">
        <v>36</v>
      </c>
      <c r="D55" s="9"/>
    </row>
    <row r="56" customFormat="false" ht="15" hidden="false" customHeight="false" outlineLevel="0" collapsed="false">
      <c r="A56" s="3" t="s">
        <v>140</v>
      </c>
      <c r="B56" s="11" t="n">
        <f aca="false">B53/B41</f>
        <v>0.233831198552082</v>
      </c>
      <c r="C56" s="9" t="s">
        <v>36</v>
      </c>
      <c r="D56" s="9"/>
    </row>
    <row r="57" customFormat="false" ht="15" hidden="false" customHeight="false" outlineLevel="0" collapsed="false">
      <c r="A57" s="3" t="s">
        <v>141</v>
      </c>
      <c r="B57" s="11" t="n">
        <f aca="false">B54/B41</f>
        <v>0.104401328032973</v>
      </c>
      <c r="C57" s="9" t="s">
        <v>36</v>
      </c>
      <c r="D57" s="9"/>
    </row>
    <row r="58" customFormat="false" ht="15" hidden="false" customHeight="false" outlineLevel="0" collapsed="false">
      <c r="A58" s="3" t="s">
        <v>89</v>
      </c>
      <c r="B58" s="4" t="s">
        <v>75</v>
      </c>
      <c r="C58" s="9" t="s">
        <v>31</v>
      </c>
      <c r="D58" s="9" t="s">
        <v>142</v>
      </c>
    </row>
    <row r="60" customFormat="false" ht="15" hidden="false" customHeight="false" outlineLevel="0" collapsed="false">
      <c r="A60" s="5" t="s">
        <v>91</v>
      </c>
      <c r="B60" s="6"/>
      <c r="C60" s="6"/>
      <c r="D60" s="6"/>
    </row>
    <row r="61" customFormat="false" ht="15" hidden="false" customHeight="false" outlineLevel="0" collapsed="false">
      <c r="A61" s="7" t="s">
        <v>26</v>
      </c>
      <c r="B61" s="7" t="s">
        <v>27</v>
      </c>
      <c r="C61" s="7" t="s">
        <v>28</v>
      </c>
      <c r="D61" s="7" t="s">
        <v>29</v>
      </c>
    </row>
    <row r="62" customFormat="false" ht="15" hidden="false" customHeight="false" outlineLevel="0" collapsed="false">
      <c r="A62" s="3" t="s">
        <v>143</v>
      </c>
      <c r="B62" s="4" t="s">
        <v>144</v>
      </c>
      <c r="C62" s="9" t="s">
        <v>145</v>
      </c>
      <c r="D62" s="9" t="s">
        <v>146</v>
      </c>
    </row>
    <row r="63" customFormat="false" ht="15" hidden="false" customHeight="false" outlineLevel="0" collapsed="false">
      <c r="A63" s="3" t="s">
        <v>147</v>
      </c>
      <c r="B63" s="15" t="n">
        <f aca="true">DATE(2026,9,29)-TODAY()</f>
        <v>50</v>
      </c>
      <c r="C63" s="9" t="s">
        <v>36</v>
      </c>
      <c r="D63" s="9"/>
    </row>
    <row r="64" customFormat="false" ht="15" hidden="false" customHeight="false" outlineLevel="0" collapsed="false">
      <c r="A64" s="3" t="s">
        <v>148</v>
      </c>
      <c r="B64" s="4" t="s">
        <v>149</v>
      </c>
      <c r="C64" s="9" t="s">
        <v>145</v>
      </c>
      <c r="D64" s="9" t="s">
        <v>150</v>
      </c>
    </row>
    <row r="65" customFormat="false" ht="15" hidden="false" customHeight="false" outlineLevel="0" collapsed="false">
      <c r="A65" s="3" t="s">
        <v>147</v>
      </c>
      <c r="B65" s="15" t="n">
        <f aca="true">DATE(2026,8,26)-TODAY()</f>
        <v>16</v>
      </c>
      <c r="C65" s="9" t="s">
        <v>36</v>
      </c>
      <c r="D65" s="9" t="s">
        <v>151</v>
      </c>
    </row>
    <row r="67" customFormat="false" ht="15" hidden="false" customHeight="false" outlineLevel="0" collapsed="false">
      <c r="A67" s="3" t="s">
        <v>95</v>
      </c>
      <c r="B67" s="4" t="s">
        <v>96</v>
      </c>
      <c r="C67" s="9" t="s">
        <v>31</v>
      </c>
      <c r="D67" s="9" t="s">
        <v>152</v>
      </c>
    </row>
    <row r="69" customFormat="false" ht="15" hidden="false" customHeight="false" outlineLevel="0" collapsed="false">
      <c r="A69" s="5" t="s">
        <v>98</v>
      </c>
      <c r="B69" s="6"/>
      <c r="C69" s="6"/>
      <c r="D69" s="6"/>
    </row>
    <row r="70" customFormat="false" ht="15" hidden="false" customHeight="false" outlineLevel="0" collapsed="false">
      <c r="A70" s="7" t="s">
        <v>26</v>
      </c>
      <c r="B70" s="7" t="s">
        <v>27</v>
      </c>
      <c r="C70" s="7" t="s">
        <v>28</v>
      </c>
      <c r="D70" s="7" t="s">
        <v>29</v>
      </c>
    </row>
    <row r="71" customFormat="false" ht="45" hidden="false" customHeight="true" outlineLevel="0" collapsed="false">
      <c r="A71" s="3" t="s">
        <v>153</v>
      </c>
      <c r="B71" s="8" t="n">
        <v>1157519.11</v>
      </c>
      <c r="C71" s="9" t="s">
        <v>31</v>
      </c>
      <c r="D71" s="9" t="s">
        <v>154</v>
      </c>
    </row>
    <row r="72" customFormat="false" ht="15" hidden="false" customHeight="false" outlineLevel="0" collapsed="false">
      <c r="A72" s="3" t="s">
        <v>99</v>
      </c>
      <c r="B72" s="8" t="n">
        <v>-162000</v>
      </c>
      <c r="C72" s="9" t="s">
        <v>155</v>
      </c>
      <c r="D72" s="9" t="s">
        <v>156</v>
      </c>
    </row>
    <row r="73" customFormat="false" ht="15" hidden="false" customHeight="false" outlineLevel="0" collapsed="false">
      <c r="A73" s="3" t="s">
        <v>101</v>
      </c>
      <c r="B73" s="4" t="s">
        <v>102</v>
      </c>
      <c r="C73" s="9" t="s">
        <v>31</v>
      </c>
      <c r="D73" s="9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2026-08-10T09:20:22Z</dcterms:created>
  <dc:creator>openpyxl</dc:creator>
  <dc:description/>
  <dc:language>en-US</dc:language>
  <cp:lastModifiedBy/>
  <dcterms:modified xsi:type="dcterms:W3CDTF">2026-08-10T09:20:22Z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
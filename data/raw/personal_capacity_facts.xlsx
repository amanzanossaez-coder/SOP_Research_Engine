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tas" sheetId="1" state="visible" r:id="rId3"/>
    <sheet name="AMS" sheetId="2" state="visible" r:id="rId4"/>
    <sheet name="AML" sheetId="3" state="visible" r:id="rId5"/>
    <sheet name="Cajas" sheetId="4" state="visible" r:id="rId6"/>
    <sheet name="Proyeccion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<sst xmlns="http://schemas.openxmlformats.org/spreadsheetml/2006/main" count="413" uniqueCount="213">
  <si>
    <t xml:space="preserve">PERSONAL CAPACITY FACTS — Notas de uso</t>
  </si>
  <si>
    <t xml:space="preserve">Propósito</t>
  </si>
  <si>
    <t xml:space="preserve">Insumo manual/semi-automático para el Personal Capacity Facts Gate (RE-032.3/RE-032.5) del SOP Research Engine. No sustituye al gate — alimenta el futuro adaptador que traduzca estas cifras a LocalPersonalCapacityFactsInputs.</t>
  </si>
  <si>
    <t xml:space="preserve">Código de color</t>
  </si>
  <si>
    <t xml:space="preserve">Azul</t>
  </si>
  <si>
    <t xml:space="preserve">Valor manual — actualizar cuando cambie la situación real</t>
  </si>
  <si>
    <t xml:space="preserve">Negro</t>
  </si>
  <si>
    <t xml:space="preserve">Fórmula derivada — no editar directamente</t>
  </si>
  <si>
    <t xml:space="preserve">Concepto: colchón vs. pólvora seca (suelo/techo)</t>
  </si>
  <si>
    <t xml:space="preserve">•</t>
  </si>
  <si>
    <t xml:space="preserve">Colchón: mínimo intocable, cubre necesidades básicas. Nunca se despliega.</t>
  </si>
  <si>
    <t xml:space="preserve">Pólvora seca — techo: por encima, hay efectivo ocioso que debería estar invertido (coste de oportunidad).</t>
  </si>
  <si>
    <t xml:space="preserve">Pólvora seca — suelo: munición mínima para aprovechar una oportunidad (ej. una caída de mercado) con el Dry Powder Protocol (RE-041.1). Por debajo, no hay peligro (el colchón sigue intacto) pero sí capacidad reducida de actuar cuando toca.</t>
  </si>
  <si>
    <t xml:space="preserve">Cadencia de actualización</t>
  </si>
  <si>
    <t xml:space="preserve">No es un archivo de valoración diaria (eso vive en las carteras '03. AMS...' y 'AML...'). Actualizar cuando cambien ingresos, gastos, umbrales de colchón/pólvora, deudas, o al vencer un depósito.</t>
  </si>
  <si>
    <t xml:space="preserve">Fecha de valoración de origen</t>
  </si>
  <si>
    <t xml:space="preserve">Los importes de cartera se tomaron de los ficheros Excel de seguimiento personal (hoja Resumen) tal como se compartieron el 2026-08-09. Confirmar/actualizar la fecha de corte real al revisar.</t>
  </si>
  <si>
    <t xml:space="preserve">Abiertos / pendientes de decisión</t>
  </si>
  <si>
    <t xml:space="preserve"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</si>
  <si>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 xml:space="preserve">AMS: concentración de ingresos — valoración cualitativa final (adecuado / no adecuado) pendiente de confirmación explícita.</t>
  </si>
  <si>
    <t xml:space="preserve">AML: Fondo Monetario aún no operativo — se nutrirá de los depósitos a plazo al vencer (Pibank 26.08.26, Myinvestor 29.09.26). Actualizar esta hoja cuando eso ocurra.</t>
  </si>
  <si>
    <t xml:space="preserve">AML: pólvora seca actual (74.375€) está por debajo del suelo objetivo (125.000€) — déficit de 50.625€ a recargar. Confirmado por Armando el 2026-08-10, sin plan de recarga definido aún.</t>
  </si>
  <si>
    <t xml:space="preserve">Ambos: 'obligaciones fijas manejables' se deriva directamente de gasto anual vs. ingresos recurrentes — no es un input independiente.</t>
  </si>
  <si>
    <t xml:space="preserve">Ambos: servicio de deuda fijado en 'manejable' de forma permanente — sin deuda, sin previsión. Revisar solo si esto cambia.</t>
  </si>
  <si>
    <t xml:space="preserve">PERSONAL CAPACITY FACTS — AMS (patrimonio propio)</t>
  </si>
  <si>
    <t xml:space="preserve">1. LIQUIDEZ Y PÓLVORA SECA</t>
  </si>
  <si>
    <t xml:space="preserve">Concepto</t>
  </si>
  <si>
    <t xml:space="preserve">Valor</t>
  </si>
  <si>
    <t xml:space="preserve">Fuente</t>
  </si>
  <si>
    <t xml:space="preserve">Nota</t>
  </si>
  <si>
    <t xml:space="preserve">Gasto anual estimado</t>
  </si>
  <si>
    <t xml:space="preserve">Manual</t>
  </si>
  <si>
    <t xml:space="preserve">Estimación Armando</t>
  </si>
  <si>
    <t xml:space="preserve">Ingresos recurrentes anuales</t>
  </si>
  <si>
    <t xml:space="preserve">Alquileres 6.000 + dividendos ETF (JGPI) 5.000 + otros 2.000</t>
  </si>
  <si>
    <t xml:space="preserve">Gap anual (déficit)</t>
  </si>
  <si>
    <t xml:space="preserve">Fórmula</t>
  </si>
  <si>
    <t xml:space="preserve">Negativo = déficit que la cartera debe poder cubrir</t>
  </si>
  <si>
    <t xml:space="preserve">Objetivo declarado</t>
  </si>
  <si>
    <t xml:space="preserve">Cerrar el gap con ingresos pasivos recurrentes</t>
  </si>
  <si>
    <t xml:space="preserve"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</si>
  <si>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 xml:space="preserve">Colchón de seguridad mínimo (intocable)</t>
  </si>
  <si>
    <t xml:space="preserve">~4 años del gap anual (7.000€/año)</t>
  </si>
  <si>
    <t xml:space="preserve">Pólvora seca óptima — suelo</t>
  </si>
  <si>
    <t xml:space="preserve">Fijado por coherencia con el modelo de dos capas de AML</t>
  </si>
  <si>
    <t xml:space="preserve">Pólvora seca óptima — techo</t>
  </si>
  <si>
    <t xml:space="preserve">Ajustado para cuadrar el techo total redondeado en 150.000€ (ver nota arriba)</t>
  </si>
  <si>
    <t xml:space="preserve">Suelo de liquidez total (mínimo óptimo)</t>
  </si>
  <si>
    <t xml:space="preserve">Techo de liquidez total (máximo óptimo)</t>
  </si>
  <si>
    <t xml:space="preserve">Liquidez actual — cuenta</t>
  </si>
  <si>
    <t xml:space="preserve">Automático (cartera AMS, hoja '01. Resumen')</t>
  </si>
  <si>
    <t xml:space="preserve">VALOR LIQUIDEZ</t>
  </si>
  <si>
    <t xml:space="preserve">Liquidez actual — Fondo Monetario</t>
  </si>
  <si>
    <t xml:space="preserve">VALOR FM</t>
  </si>
  <si>
    <t xml:space="preserve">Liquidez total actual</t>
  </si>
  <si>
    <t xml:space="preserve">Pólvora seca actual</t>
  </si>
  <si>
    <t xml:space="preserve">Exceso/(Déficit) vs. suelo de liquidez</t>
  </si>
  <si>
    <t xml:space="preserve">Exceso/(Déficit) vs. techo de liquidez</t>
  </si>
  <si>
    <t xml:space="preserve">Positivo = liquidez ociosa por encima del objetivo</t>
  </si>
  <si>
    <t xml:space="preserve">Exceso/(Déficit) vs. pólvora óptima (suelo)</t>
  </si>
  <si>
    <t xml:space="preserve">Exceso/(Déficit) vs. pólvora óptima (techo)</t>
  </si>
  <si>
    <t xml:space="preserve">2. DEUDA</t>
  </si>
  <si>
    <t xml:space="preserve">Servicio de deuda manejable</t>
  </si>
  <si>
    <t xml:space="preserve">Sí (fijo)</t>
  </si>
  <si>
    <t xml:space="preserve">Manual / fijo</t>
  </si>
  <si>
    <t xml:space="preserve">Sin deuda, sin previsión de contraerla</t>
  </si>
  <si>
    <t xml:space="preserve">3. CONCENTRACIÓN DE INGRESOS</t>
  </si>
  <si>
    <t xml:space="preserve">Alquileres</t>
  </si>
  <si>
    <t xml:space="preserve">Dividendos ETF (JGPI)</t>
  </si>
  <si>
    <t xml:space="preserve">Otros</t>
  </si>
  <si>
    <t xml:space="preserve">Total ingresos recurrentes</t>
  </si>
  <si>
    <t xml:space="preserve">% Alquileres</t>
  </si>
  <si>
    <t xml:space="preserve">% Dividendos ETF</t>
  </si>
  <si>
    <t xml:space="preserve">% Otros</t>
  </si>
  <si>
    <t xml:space="preserve">Valoración cualitativa (concentración de ingresos)</t>
  </si>
  <si>
    <t xml:space="preserve">Adecuado</t>
  </si>
  <si>
    <t xml:space="preserve"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</si>
  <si>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 xml:space="preserve">4. CONCENTRACIÓN DE CARTERA</t>
  </si>
  <si>
    <t xml:space="preserve">SP500 (fondos indexados)</t>
  </si>
  <si>
    <t xml:space="preserve">Fondo Monetario</t>
  </si>
  <si>
    <t xml:space="preserve">ETF</t>
  </si>
  <si>
    <t xml:space="preserve">Pisos</t>
  </si>
  <si>
    <t xml:space="preserve">Liquidez (excluido FM)</t>
  </si>
  <si>
    <t xml:space="preserve">No confundir con 'Liquidez total actual' de la sección 1, que sí incluye el Fondo Monetario (172.330,77€) -- aquí el FM va aparte como clase de activo propia</t>
  </si>
  <si>
    <t xml:space="preserve">Total patrimonio</t>
  </si>
  <si>
    <t xml:space="preserve">% SP500</t>
  </si>
  <si>
    <t xml:space="preserve">% Fondo Monetario</t>
  </si>
  <si>
    <t xml:space="preserve">% ETF</t>
  </si>
  <si>
    <t xml:space="preserve">% Pisos</t>
  </si>
  <si>
    <t xml:space="preserve">% Liquidez (excl. FM)</t>
  </si>
  <si>
    <t xml:space="preserve">Valoración cualitativa (concentración de cartera)</t>
  </si>
  <si>
    <t xml:space="preserve">Confirmado por Armando 2026-08-10 -- 69,5% en un único índice (SP500) considerado concentración aceptable dado que es un índice diversificado de 500 compañías, no una apuesta individual</t>
  </si>
  <si>
    <t xml:space="preserve">5. RESTRICCIONES DE HORIZONTE CONOCIDO</t>
  </si>
  <si>
    <t xml:space="preserve">Depósitos a plazo</t>
  </si>
  <si>
    <t xml:space="preserve">Ninguno</t>
  </si>
  <si>
    <t xml:space="preserve">Confirmado — solo liquidez y Fondo Monetario, sin vencimientos</t>
  </si>
  <si>
    <t xml:space="preserve">Próximo evento con necesidad de liquidez conocida</t>
  </si>
  <si>
    <t xml:space="preserve">Ninguno conocido</t>
  </si>
  <si>
    <t xml:space="preserve">Confirmado 2026-08-10</t>
  </si>
  <si>
    <t xml:space="preserve">6. RESTRICCIONES FISCALES / OPERATIVAS</t>
  </si>
  <si>
    <t xml:space="preserve">Minusvalía pendiente de compensar (TEF)</t>
  </si>
  <si>
    <t xml:space="preserve">Venta 2026. Crédito fiscal favorable, no una restricción -- 4 años para compensar vía plusvalías (confirmado por Armando 2026-08-10); si no se generan plusvalías suficientes en ese plazo, el crédito caduca sin usarse</t>
  </si>
  <si>
    <t xml:space="preserve">Restricciones fiscales pendientes</t>
  </si>
  <si>
    <t xml:space="preserve">Ninguna conocida</t>
  </si>
  <si>
    <t xml:space="preserve">Confirmado 2026-08-10 -- la minusvalía de arriba es la única cuestión fiscal conocida, y es favorable, no restrictiva</t>
  </si>
  <si>
    <t xml:space="preserve">PERSONAL CAPACITY FACTS — AML (patrimonio de tus padres)</t>
  </si>
  <si>
    <t xml:space="preserve">Rango 30.000-35.000€, punto medio usado</t>
  </si>
  <si>
    <t xml:space="preserve">Pensiones públicas netas 60.000 (30.000 c/u) + dividendos netos 20.000</t>
  </si>
  <si>
    <t xml:space="preserve">Superávit anual</t>
  </si>
  <si>
    <t xml:space="preserve">Positivo = no necesitan tocar la cartera para vivir</t>
  </si>
  <si>
    <t xml:space="preserve">Nunca por debajo de esta cifra</t>
  </si>
  <si>
    <t xml:space="preserve">Confirmado: 125.000+175.000=300.000€, cuadra con la cifra original</t>
  </si>
  <si>
    <t xml:space="preserve">Automático (cartera AML, hoja '01a. Resumen AML')</t>
  </si>
  <si>
    <t xml:space="preserve">Liquidez actual — Depósito Myinvestor (2% TAE)</t>
  </si>
  <si>
    <t xml:space="preserve">Vence 29.09.26</t>
  </si>
  <si>
    <t xml:space="preserve">Liquidez actual — Depósito Pibank (2% TAE)</t>
  </si>
  <si>
    <t xml:space="preserve">Vence 26.08.26</t>
  </si>
  <si>
    <t xml:space="preserve">Aún no operativo — pendiente de nutrirse con depósitos al vencer</t>
  </si>
  <si>
    <t xml:space="preserve">Negativo = hoy tienen menos pólvora seca que el objetivo mínimo — recargar hasta cubrir este déficit</t>
  </si>
  <si>
    <t xml:space="preserve">Pensiones públicas (netas)</t>
  </si>
  <si>
    <t xml:space="preserve">30.000€ neto c/u</t>
  </si>
  <si>
    <t xml:space="preserve">Dividendos (netos)</t>
  </si>
  <si>
    <t xml:space="preserve">% Pensiones</t>
  </si>
  <si>
    <t xml:space="preserve">% Dividendos</t>
  </si>
  <si>
    <t xml:space="preserve">Fuente dominante (pensión pública) es la más estable posible; ingreso total muy por encima del gasto</t>
  </si>
  <si>
    <t xml:space="preserve">Fondos RV</t>
  </si>
  <si>
    <t xml:space="preserve">Planes de Pensiones (Papá 754.162,54 + Mamá 403.356,58)</t>
  </si>
  <si>
    <t xml:space="preserve">Excluidos de liquidez/pólvora seca — ver sección 6</t>
  </si>
  <si>
    <t xml:space="preserve">Acciones (Iberdrola 356.040 + BBVA 125.804,4 + TEF 56.169,35)</t>
  </si>
  <si>
    <t xml:space="preserve">ETF (Aristócratas)</t>
  </si>
  <si>
    <t xml:space="preserve">Liquidez + Depósitos (excluido FM)</t>
  </si>
  <si>
    <t xml:space="preserve">No confundir con 'Liquidez total actual' de la sección 1 -- hoy coinciden porque el FM de AML aún está a 0€, pero dejarán de coincidir en cuanto el FM se nutra de los depósitos al vencer</t>
  </si>
  <si>
    <t xml:space="preserve">% Fondos RV</t>
  </si>
  <si>
    <t xml:space="preserve">% Planes de Pensiones</t>
  </si>
  <si>
    <t xml:space="preserve">% Acciones</t>
  </si>
  <si>
    <t xml:space="preserve">% Liquidez + Depósitos</t>
  </si>
  <si>
    <t xml:space="preserve">Concentración dentro de Acciones</t>
  </si>
  <si>
    <t xml:space="preserve">Iberdrola</t>
  </si>
  <si>
    <t xml:space="preserve">Automático</t>
  </si>
  <si>
    <t xml:space="preserve">BBVA</t>
  </si>
  <si>
    <t xml:space="preserve">TEF</t>
  </si>
  <si>
    <t xml:space="preserve">% Iberdrola</t>
  </si>
  <si>
    <t xml:space="preserve">% BBVA</t>
  </si>
  <si>
    <t xml:space="preserve">% TEF</t>
  </si>
  <si>
    <t xml:space="preserve"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</si>
  <si>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 xml:space="preserve">Depósito Myinvestor — vencimiento</t>
  </si>
  <si>
    <t xml:space="preserve">29/09/2026</t>
  </si>
  <si>
    <t xml:space="preserve">Automático (cartera AML)</t>
  </si>
  <si>
    <t xml:space="preserve">60.000€, 2% TAE</t>
  </si>
  <si>
    <t xml:space="preserve">  días restantes</t>
  </si>
  <si>
    <t xml:space="preserve">Depósito Pibank — vencimiento</t>
  </si>
  <si>
    <t xml:space="preserve">26/08/2026</t>
  </si>
  <si>
    <t xml:space="preserve">85.000€, 2% TAE</t>
  </si>
  <si>
    <t xml:space="preserve">Vence en breve — primer candidato a nutrir el Fondo Monetario</t>
  </si>
  <si>
    <t xml:space="preserve">Confirmado 2026-08-10. Los vencimientos de depósitos de arriba son liquidez entrante, no una necesidad de gasto -- no cuentan aquí.</t>
  </si>
  <si>
    <t xml:space="preserve">Planes de Pensiones — excluidos permanentemente</t>
  </si>
  <si>
    <t xml:space="preserve"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</si>
  <si>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 xml:space="preserve">Manual (confirmado por Armando 2026-08-10)</t>
  </si>
  <si>
    <t xml:space="preserve">Crédito fiscal favorable, no una restricción -- 4 años para compensar vía plusvalías; si no se generan plusvalías suficientes en ese plazo, el crédito caduca sin usarse</t>
  </si>
  <si>
    <t xml:space="preserve">Confirmado 2026-08-10 -- la exclusión de Planes de Pensiones y la minusvalía TEF de arriba son las únicas cuestiones fiscales conocidas; ninguna de las dos es una restricción activa</t>
  </si>
  <si>
    <t xml:space="preserve">CLASIFICACIÓN EN LAS TRES CAJAS</t>
  </si>
  <si>
    <t xml:space="preserve">Nivel 3, CONSTITUTION.md Sección 2  ·  Seguridad · Motor · Rentas Pasivas</t>
  </si>
  <si>
    <t xml:space="preserve">AMS — patrimonio propio</t>
  </si>
  <si>
    <t xml:space="preserve">Caja</t>
  </si>
  <si>
    <t xml:space="preserve">Partida</t>
  </si>
  <si>
    <t xml:space="preserve">Origen</t>
  </si>
  <si>
    <t xml:space="preserve">Seguridad</t>
  </si>
  <si>
    <t xml:space="preserve">AMS!B41</t>
  </si>
  <si>
    <t xml:space="preserve">AMS!B44</t>
  </si>
  <si>
    <t xml:space="preserve">Subtotal Seguridad</t>
  </si>
  <si>
    <t xml:space="preserve">Motor</t>
  </si>
  <si>
    <t xml:space="preserve">AMS!B40</t>
  </si>
  <si>
    <t xml:space="preserve">Subtotal Motor</t>
  </si>
  <si>
    <t xml:space="preserve">Rentas Pasivas</t>
  </si>
  <si>
    <t xml:space="preserve">AMS!B42</t>
  </si>
  <si>
    <t xml:space="preserve">AMS!B43</t>
  </si>
  <si>
    <t xml:space="preserve">Subtotal Rentas Pasivas</t>
  </si>
  <si>
    <t xml:space="preserve">TOTAL AMS (3 cajas)</t>
  </si>
  <si>
    <t xml:space="preserve">Diferencia vs. total patrimonio (control)</t>
  </si>
  <si>
    <t xml:space="preserve">Debe ser 0€. Si no lo es, hay una partida nueva en la sección 4 sin clasificar aquí.</t>
  </si>
  <si>
    <t xml:space="preserve">AML — patrimonio de tus padres</t>
  </si>
  <si>
    <t xml:space="preserve">AML!B43</t>
  </si>
  <si>
    <t xml:space="preserve">AML!B39</t>
  </si>
  <si>
    <t xml:space="preserve">AML!B40</t>
  </si>
  <si>
    <t xml:space="preserve">Bloqueado operativamente (ilíquido salvo jubilación/paro larga duración/enfermedad grave; destino: herencia). Clasificado en Motor por composición de activo, confirmado por Armando 2026-08-13.</t>
  </si>
  <si>
    <t xml:space="preserve">AML!B41</t>
  </si>
  <si>
    <t xml:space="preserve">Función declarada de renta vía dividendos, no de crecimiento (ver AML!D58). Confirmado por Armando 2026-08-13.</t>
  </si>
  <si>
    <t xml:space="preserve">AML!B42</t>
  </si>
  <si>
    <t xml:space="preserve">TOTAL AML (3 cajas)</t>
  </si>
  <si>
    <t xml:space="preserve">Colores: Seguridad (azul) · Motor (verde) · Rentas Pasivas (naranja). Clasificación fijada por Armando el 2026-08-13 sobre la tabla de cajas de CONSTITUTION.md Sección 2, Nivel 3 — Seguridad: liquidez/depósitos/monetarios · Motor: fondo indexado S&amp;P 500 y otras inversiones a largo plazo · Rentas Pasivas: JGPI, inmobiliario, oro.</t>
  </si>
  <si>
    <t xml:space="preserve">PROYECCIÓN CAJA MOTOR — HIPÓTESIS BASE v1</t>
  </si>
  <si>
    <t xml:space="preserve">Ilustrativa, no un objetivo. X/Y/Z por necesidad patrimonial: CONSTITUTION.md Sección 6, Pendiente.</t>
  </si>
  <si>
    <t xml:space="preserve">Hipótesis de rentabilidad  ·  CONSTITUTION.md Sección 2</t>
  </si>
  <si>
    <t xml:space="preserve">Rentabilidad real anualizada</t>
  </si>
  <si>
    <t xml:space="preserve">Hipótesis base v1 — CONSTITUTION.md Sección 2. Serie total return real de Shiller (data/raw/shiller.xlsx), dividendos reinvertidos, CAGR de la serie completa. No se ajusta automáticamente por CAPE ni por el Research Engine — editar solo tras actualización explícita de la Constitución.</t>
  </si>
  <si>
    <t xml:space="preserve">Rentabilidad nominal anualizada (aprox.)</t>
  </si>
  <si>
    <t xml:space="preserve">Derivada de la rentabilidad real + inflación media histórica de la serie Shiller (~2,15%/año). Misma gobernanza que la fila anterior.</t>
  </si>
  <si>
    <t xml:space="preserve">Base — Caja Motor  ·  hoja 'Cajas'</t>
  </si>
  <si>
    <t xml:space="preserve">AMS — Caja Motor</t>
  </si>
  <si>
    <t xml:space="preserve">Cajas!C10</t>
  </si>
  <si>
    <t xml:space="preserve">AML — Caja Motor</t>
  </si>
  <si>
    <t xml:space="preserve">Cajas!C25</t>
  </si>
  <si>
    <t xml:space="preserve">Incluye Planes de Pensiones, operativamente bloqueados (ver hoja 'Cajas').</t>
  </si>
  <si>
    <t xml:space="preserve">Proyección Caja Motor a 5 / 10 / 15 años  ·  AMS vs. AML</t>
  </si>
  <si>
    <t xml:space="preserve">Horizonte</t>
  </si>
  <si>
    <t xml:space="preserve">AMS Real</t>
  </si>
  <si>
    <t xml:space="preserve">AMS Nominal</t>
  </si>
  <si>
    <t xml:space="preserve">AML Real</t>
  </si>
  <si>
    <t xml:space="preserve">AML Nominal</t>
  </si>
  <si>
    <t xml:space="preserve">5 años</t>
  </si>
  <si>
    <t xml:space="preserve">10 años</t>
  </si>
  <si>
    <t xml:space="preserve">15 años</t>
  </si>
  <si>
    <t xml:space="preserve">Proyección de interés compuesto puro sobre el saldo actual de Caja Motor. No es el objetivo X/Y/Z (todavía sin definir) — sirve para comparar, una vez fijado ese objetivo, si la trayectoria real va camino de cumplirlo. AML incluye Planes de Pensiones bloqueados.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</si>
</sst>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€;\(#,##0&quot;€)&quot;"/>
    <numFmt numFmtId="166" formatCode="0.0%"/>
    <numFmt numFmtId="167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3"/>
      <color rgb="FF1F1F1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sz val="10"/>
      <color rgb="FF1F1F1F"/>
      <name val="Arial"/>
      <family val="0"/>
      <charset val="1"/>
    </font>
    <font>
      <sz val="8.5"/>
      <color rgb="FF9E9E9E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i val="true"/>
      <sz val="8.5"/>
      <color rgb="FF7F7F7F"/>
      <name val="Arial"/>
      <family val="0"/>
      <charset val="1"/>
    </font>
    <font>
      <b val="true"/>
      <sz val="10"/>
      <color rgb="FF1155CC"/>
      <name val="Arial"/>
      <family val="0"/>
      <charset val="1"/>
    </font>
    <font>
      <b val="true"/>
      <sz val="10.5"/>
      <color rgb="FF1F1F1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2E5395"/>
        <bgColor rgb="FF1155CC"/>
      </patternFill>
    </fill>
    <fill>
      <patternFill patternType="solid">
        <fgColor rgb="FFDDEBF7"/>
        <bgColor rgb="FFD9E1F2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DDEBF7"/>
      </patternFill>
    </fill>
    <fill>
      <patternFill patternType="solid">
        <fgColor rgb="FFA9D18E"/>
        <bgColor rgb="FFBDD7EE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8080"/>
      </patternFill>
    </fill>
    <fill>
      <patternFill patternType="solid">
        <fgColor rgb="FF404040"/>
        <bgColor rgb="FF595959"/>
      </patternFill>
    </fill>
    <fill>
      <patternFill patternType="solid">
        <fgColor rgb="FFFFF2CC"/>
        <bgColor rgb="FFFCE4D6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808080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 style="medium">
        <color rgb="FF595959"/>
      </right>
      <top/>
      <bottom style="medium">
        <color rgb="FF808080"/>
      </bottom>
      <diagonal/>
    </border>
    <border diagonalUp="false" diagonalDown="false">
      <left style="medium">
        <color rgb="FF595959"/>
      </left>
      <right/>
      <top/>
      <bottom style="medium">
        <color rgb="FF808080"/>
      </bottom>
      <diagonal/>
    </border>
    <border diagonalUp="false" diagonalDown="false">
      <left style="thin">
        <color rgb="FFD9D9D9"/>
      </left>
      <right style="medium">
        <color rgb="FF59595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59595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1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1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8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8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A9D18E"/>
      <rgbColor rgb="FF808080"/>
      <rgbColor rgb="FF9999FF"/>
      <rgbColor rgb="FF595959"/>
      <rgbColor rgb="FFFFF2CC"/>
      <rgbColor rgb="FFDDEBF7"/>
      <rgbColor rgb="FF660066"/>
      <rgbColor rgb="FFFF8080"/>
      <rgbColor rgb="FF1155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D9D9D9"/>
      <rgbColor rgb="FFFCE4D6"/>
      <rgbColor rgb="FFD9E1F2"/>
      <rgbColor rgb="FFF4B183"/>
      <rgbColor rgb="FF3366FF"/>
      <rgbColor rgb="FF33CCCC"/>
      <rgbColor rgb="FF99CC00"/>
      <rgbColor rgb="FFFFCC00"/>
      <rgbColor rgb="FFFF9900"/>
      <rgbColor rgb="FFFF6600"/>
      <rgbColor rgb="FF666666"/>
      <rgbColor rgb="FF9E9E9E"/>
      <rgbColor rgb="FF003366"/>
      <rgbColor rgb="FF339966"/>
      <rgbColor rgb="FF003300"/>
      <rgbColor rgb="FF1F1F1F"/>
      <rgbColor rgb="FF993300"/>
      <rgbColor rgb="FF993366"/>
      <rgbColor rgb="FF2E5395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70"/>
  </cols>
  <sheetData>
    <row r="1" customFormat="false" ht="15.7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5" t="s">
        <v>4</v>
      </c>
      <c r="B6" s="4" t="s">
        <v>5</v>
      </c>
    </row>
    <row r="7" customFormat="false" ht="15" hidden="false" customHeight="true" outlineLevel="0" collapsed="false">
      <c r="A7" s="4" t="s">
        <v>6</v>
      </c>
      <c r="B7" s="4" t="s">
        <v>7</v>
      </c>
    </row>
    <row r="9" customFormat="false" ht="15" hidden="false" customHeight="true" outlineLevel="0" collapsed="false">
      <c r="A9" s="3" t="s">
        <v>8</v>
      </c>
    </row>
    <row r="10" customFormat="false" ht="15" hidden="false" customHeight="true" outlineLevel="0" collapsed="false">
      <c r="A10" s="4" t="s">
        <v>9</v>
      </c>
      <c r="B10" s="4" t="s">
        <v>10</v>
      </c>
    </row>
    <row r="11" customFormat="false" ht="15" hidden="false" customHeight="true" outlineLevel="0" collapsed="false">
      <c r="A11" s="4" t="s">
        <v>9</v>
      </c>
      <c r="B11" s="4" t="s">
        <v>11</v>
      </c>
    </row>
    <row r="12" customFormat="false" ht="15" hidden="false" customHeight="true" outlineLevel="0" collapsed="false">
      <c r="A12" s="4" t="s">
        <v>9</v>
      </c>
      <c r="B12" s="4" t="s">
        <v>12</v>
      </c>
    </row>
    <row r="14" customFormat="false" ht="15" hidden="false" customHeight="true" outlineLevel="0" collapsed="false">
      <c r="A14" s="3" t="s">
        <v>13</v>
      </c>
      <c r="B14" s="4" t="s">
        <v>14</v>
      </c>
    </row>
    <row r="16" customFormat="false" ht="15" hidden="false" customHeight="true" outlineLevel="0" collapsed="false">
      <c r="A16" s="3" t="s">
        <v>15</v>
      </c>
      <c r="B16" s="4" t="s">
        <v>16</v>
      </c>
    </row>
    <row r="18" customFormat="false" ht="15" hidden="false" customHeight="true" outlineLevel="0" collapsed="false">
      <c r="A18" s="3" t="s">
        <v>17</v>
      </c>
    </row>
    <row r="19" customFormat="false" ht="30" hidden="false" customHeight="true" outlineLevel="0" collapsed="false">
      <c r="A19" s="4" t="s">
        <v>9</v>
      </c>
      <c r="B19" s="4" t="s">
        <v>18</v>
      </c>
    </row>
    <row r="20" customFormat="false" ht="30" hidden="false" customHeight="true" outlineLevel="0" collapsed="false">
      <c r="A20" s="4" t="s">
        <v>9</v>
      </c>
      <c r="B20" s="4" t="s">
        <v>19</v>
      </c>
    </row>
    <row r="21" customFormat="false" ht="30" hidden="false" customHeight="true" outlineLevel="0" collapsed="false">
      <c r="A21" s="4" t="s">
        <v>9</v>
      </c>
      <c r="B21" s="4" t="s">
        <v>20</v>
      </c>
    </row>
    <row r="22" customFormat="false" ht="30" hidden="false" customHeight="true" outlineLevel="0" collapsed="false">
      <c r="A22" s="4" t="s">
        <v>9</v>
      </c>
      <c r="B22" s="4" t="s">
        <v>21</v>
      </c>
    </row>
    <row r="23" customFormat="false" ht="30" hidden="false" customHeight="true" outlineLevel="0" collapsed="false">
      <c r="A23" s="4" t="s">
        <v>9</v>
      </c>
      <c r="B23" s="4" t="s">
        <v>22</v>
      </c>
    </row>
    <row r="24" customFormat="false" ht="30" hidden="false" customHeight="true" outlineLevel="0" collapsed="false">
      <c r="A24" s="4" t="s">
        <v>9</v>
      </c>
      <c r="B24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2" t="s">
        <v>24</v>
      </c>
    </row>
    <row r="3" customFormat="false" ht="15" hidden="false" customHeight="true" outlineLevel="0" collapsed="false">
      <c r="A3" s="6" t="s">
        <v>25</v>
      </c>
      <c r="B3" s="7"/>
      <c r="C3" s="7"/>
      <c r="D3" s="7"/>
    </row>
    <row r="4" customFormat="false" ht="15" hidden="false" customHeight="true" outlineLevel="0" collapsed="false">
      <c r="A4" s="8" t="s">
        <v>26</v>
      </c>
      <c r="B4" s="8" t="s">
        <v>27</v>
      </c>
      <c r="C4" s="8" t="s">
        <v>28</v>
      </c>
      <c r="D4" s="8" t="s">
        <v>29</v>
      </c>
    </row>
    <row r="5" customFormat="false" ht="15" hidden="false" customHeight="true" outlineLevel="0" collapsed="false">
      <c r="A5" s="4" t="s">
        <v>30</v>
      </c>
      <c r="B5" s="9" t="n">
        <v>20000</v>
      </c>
      <c r="C5" s="10" t="s">
        <v>31</v>
      </c>
      <c r="D5" s="10" t="s">
        <v>32</v>
      </c>
    </row>
    <row r="6" customFormat="false" ht="15" hidden="false" customHeight="true" outlineLevel="0" collapsed="false">
      <c r="A6" s="4" t="s">
        <v>33</v>
      </c>
      <c r="B6" s="9" t="n">
        <v>13000</v>
      </c>
      <c r="C6" s="10" t="s">
        <v>31</v>
      </c>
      <c r="D6" s="10" t="s">
        <v>34</v>
      </c>
    </row>
    <row r="7" customFormat="false" ht="15" hidden="false" customHeight="true" outlineLevel="0" collapsed="false">
      <c r="A7" s="4" t="s">
        <v>35</v>
      </c>
      <c r="B7" s="11" t="n">
        <f aca="false">B6-B5</f>
        <v>-7000</v>
      </c>
      <c r="C7" s="10" t="s">
        <v>36</v>
      </c>
      <c r="D7" s="10" t="s">
        <v>37</v>
      </c>
    </row>
    <row r="8" customFormat="false" ht="15" hidden="false" customHeight="true" outlineLevel="0" collapsed="false">
      <c r="A8" s="4" t="s">
        <v>38</v>
      </c>
      <c r="B8" s="5" t="s">
        <v>39</v>
      </c>
      <c r="C8" s="10" t="s">
        <v>31</v>
      </c>
      <c r="D8" s="10" t="s">
        <v>40</v>
      </c>
    </row>
    <row r="9" customFormat="false" ht="15" hidden="false" customHeight="true" outlineLevel="0" collapsed="false">
      <c r="A9" s="4" t="s">
        <v>41</v>
      </c>
      <c r="B9" s="9" t="n">
        <v>30000</v>
      </c>
      <c r="C9" s="10" t="s">
        <v>31</v>
      </c>
      <c r="D9" s="10" t="s">
        <v>42</v>
      </c>
    </row>
    <row r="10" customFormat="false" ht="15" hidden="false" customHeight="true" outlineLevel="0" collapsed="false">
      <c r="A10" s="4" t="s">
        <v>43</v>
      </c>
      <c r="B10" s="9" t="n">
        <v>70000</v>
      </c>
      <c r="C10" s="10" t="s">
        <v>31</v>
      </c>
      <c r="D10" s="10" t="s">
        <v>44</v>
      </c>
    </row>
    <row r="11" customFormat="false" ht="15" hidden="false" customHeight="true" outlineLevel="0" collapsed="false">
      <c r="A11" s="4" t="s">
        <v>45</v>
      </c>
      <c r="B11" s="9" t="n">
        <v>120000</v>
      </c>
      <c r="C11" s="10" t="s">
        <v>31</v>
      </c>
      <c r="D11" s="10" t="s">
        <v>46</v>
      </c>
    </row>
    <row r="12" customFormat="false" ht="15" hidden="false" customHeight="true" outlineLevel="0" collapsed="false">
      <c r="A12" s="4" t="s">
        <v>47</v>
      </c>
      <c r="B12" s="11" t="n">
        <f aca="false">B9+B10</f>
        <v>100000</v>
      </c>
      <c r="C12" s="10" t="s">
        <v>36</v>
      </c>
      <c r="D12" s="12"/>
    </row>
    <row r="13" customFormat="false" ht="15" hidden="false" customHeight="true" outlineLevel="0" collapsed="false">
      <c r="A13" s="4" t="s">
        <v>48</v>
      </c>
      <c r="B13" s="11" t="n">
        <f aca="false">B9+B11</f>
        <v>150000</v>
      </c>
      <c r="C13" s="10" t="s">
        <v>36</v>
      </c>
      <c r="D13" s="12"/>
    </row>
    <row r="14" customFormat="false" ht="15" hidden="false" customHeight="true" outlineLevel="0" collapsed="false">
      <c r="A14" s="4" t="s">
        <v>49</v>
      </c>
      <c r="B14" s="9" t="n">
        <v>83100</v>
      </c>
      <c r="C14" s="10" t="s">
        <v>50</v>
      </c>
      <c r="D14" s="10" t="s">
        <v>51</v>
      </c>
    </row>
    <row r="15" customFormat="false" ht="15" hidden="false" customHeight="true" outlineLevel="0" collapsed="false">
      <c r="A15" s="4" t="s">
        <v>52</v>
      </c>
      <c r="B15" s="9" t="n">
        <v>89230.77</v>
      </c>
      <c r="C15" s="10" t="s">
        <v>50</v>
      </c>
      <c r="D15" s="10" t="s">
        <v>53</v>
      </c>
    </row>
    <row r="16" customFormat="false" ht="15" hidden="false" customHeight="true" outlineLevel="0" collapsed="false">
      <c r="A16" s="4" t="s">
        <v>54</v>
      </c>
      <c r="B16" s="11" t="n">
        <f aca="false">SUM(B14:B15)</f>
        <v>172330.77</v>
      </c>
      <c r="C16" s="10" t="s">
        <v>36</v>
      </c>
      <c r="D16" s="12"/>
    </row>
    <row r="17" customFormat="false" ht="15" hidden="false" customHeight="true" outlineLevel="0" collapsed="false">
      <c r="A17" s="4" t="s">
        <v>55</v>
      </c>
      <c r="B17" s="11" t="n">
        <f aca="false">B16-B9</f>
        <v>142330.77</v>
      </c>
      <c r="C17" s="10" t="s">
        <v>36</v>
      </c>
      <c r="D17" s="12"/>
    </row>
    <row r="18" customFormat="false" ht="15" hidden="false" customHeight="true" outlineLevel="0" collapsed="false">
      <c r="A18" s="4" t="s">
        <v>56</v>
      </c>
      <c r="B18" s="11" t="n">
        <f aca="false">B16-B12</f>
        <v>72330.77</v>
      </c>
      <c r="C18" s="10" t="s">
        <v>36</v>
      </c>
      <c r="D18" s="12"/>
    </row>
    <row r="19" customFormat="false" ht="15" hidden="false" customHeight="true" outlineLevel="0" collapsed="false">
      <c r="A19" s="4" t="s">
        <v>57</v>
      </c>
      <c r="B19" s="11" t="n">
        <f aca="false">B16-B13</f>
        <v>22330.77</v>
      </c>
      <c r="C19" s="10" t="s">
        <v>36</v>
      </c>
      <c r="D19" s="10" t="s">
        <v>58</v>
      </c>
    </row>
    <row r="20" customFormat="false" ht="15" hidden="false" customHeight="true" outlineLevel="0" collapsed="false">
      <c r="A20" s="4" t="s">
        <v>59</v>
      </c>
      <c r="B20" s="11" t="n">
        <f aca="false">B17-B10</f>
        <v>72330.77</v>
      </c>
      <c r="C20" s="10" t="s">
        <v>36</v>
      </c>
      <c r="D20" s="12"/>
    </row>
    <row r="21" customFormat="false" ht="15" hidden="false" customHeight="true" outlineLevel="0" collapsed="false">
      <c r="A21" s="4" t="s">
        <v>60</v>
      </c>
      <c r="B21" s="11" t="n">
        <f aca="false">B17-B11</f>
        <v>22330.77</v>
      </c>
      <c r="C21" s="10" t="s">
        <v>36</v>
      </c>
      <c r="D21" s="12"/>
    </row>
    <row r="23" customFormat="false" ht="15" hidden="false" customHeight="true" outlineLevel="0" collapsed="false">
      <c r="A23" s="6" t="s">
        <v>61</v>
      </c>
      <c r="B23" s="7"/>
      <c r="C23" s="7"/>
      <c r="D23" s="7"/>
    </row>
    <row r="24" customFormat="false" ht="15" hidden="false" customHeight="true" outlineLevel="0" collapsed="false">
      <c r="A24" s="8" t="s">
        <v>26</v>
      </c>
      <c r="B24" s="8" t="s">
        <v>27</v>
      </c>
      <c r="C24" s="8" t="s">
        <v>28</v>
      </c>
      <c r="D24" s="8" t="s">
        <v>29</v>
      </c>
    </row>
    <row r="25" customFormat="false" ht="15" hidden="false" customHeight="true" outlineLevel="0" collapsed="false">
      <c r="A25" s="4" t="s">
        <v>62</v>
      </c>
      <c r="B25" s="5" t="s">
        <v>63</v>
      </c>
      <c r="C25" s="10" t="s">
        <v>64</v>
      </c>
      <c r="D25" s="10" t="s">
        <v>65</v>
      </c>
    </row>
    <row r="27" customFormat="false" ht="15" hidden="false" customHeight="true" outlineLevel="0" collapsed="false">
      <c r="A27" s="6" t="s">
        <v>66</v>
      </c>
      <c r="B27" s="7"/>
      <c r="C27" s="7"/>
      <c r="D27" s="7"/>
    </row>
    <row r="28" customFormat="false" ht="15" hidden="false" customHeight="true" outlineLevel="0" collapsed="false">
      <c r="A28" s="8" t="s">
        <v>26</v>
      </c>
      <c r="B28" s="8" t="s">
        <v>27</v>
      </c>
      <c r="C28" s="8" t="s">
        <v>28</v>
      </c>
      <c r="D28" s="8" t="s">
        <v>29</v>
      </c>
    </row>
    <row r="29" customFormat="false" ht="15" hidden="false" customHeight="true" outlineLevel="0" collapsed="false">
      <c r="A29" s="4" t="s">
        <v>67</v>
      </c>
      <c r="B29" s="9" t="n">
        <v>6000</v>
      </c>
      <c r="C29" s="10" t="s">
        <v>31</v>
      </c>
      <c r="D29" s="12"/>
    </row>
    <row r="30" customFormat="false" ht="15" hidden="false" customHeight="true" outlineLevel="0" collapsed="false">
      <c r="A30" s="4" t="s">
        <v>68</v>
      </c>
      <c r="B30" s="9" t="n">
        <v>5000</v>
      </c>
      <c r="C30" s="10" t="s">
        <v>31</v>
      </c>
      <c r="D30" s="12"/>
    </row>
    <row r="31" customFormat="false" ht="15" hidden="false" customHeight="true" outlineLevel="0" collapsed="false">
      <c r="A31" s="4" t="s">
        <v>69</v>
      </c>
      <c r="B31" s="9" t="n">
        <v>2000</v>
      </c>
      <c r="C31" s="10" t="s">
        <v>31</v>
      </c>
      <c r="D31" s="12"/>
    </row>
    <row r="32" customFormat="false" ht="15" hidden="false" customHeight="true" outlineLevel="0" collapsed="false">
      <c r="A32" s="4" t="s">
        <v>70</v>
      </c>
      <c r="B32" s="11" t="n">
        <f aca="false">SUM(B29:B31)</f>
        <v>13000</v>
      </c>
      <c r="C32" s="10" t="s">
        <v>36</v>
      </c>
      <c r="D32" s="12"/>
    </row>
    <row r="33" customFormat="false" ht="15" hidden="false" customHeight="true" outlineLevel="0" collapsed="false">
      <c r="A33" s="4" t="s">
        <v>71</v>
      </c>
      <c r="B33" s="13" t="n">
        <f aca="false">B29/B32</f>
        <v>0.461538461538462</v>
      </c>
      <c r="C33" s="10" t="s">
        <v>36</v>
      </c>
      <c r="D33" s="12"/>
    </row>
    <row r="34" customFormat="false" ht="15" hidden="false" customHeight="true" outlineLevel="0" collapsed="false">
      <c r="A34" s="4" t="s">
        <v>72</v>
      </c>
      <c r="B34" s="13" t="n">
        <f aca="false">B30/B32</f>
        <v>0.384615384615385</v>
      </c>
      <c r="C34" s="10" t="s">
        <v>36</v>
      </c>
      <c r="D34" s="12"/>
    </row>
    <row r="35" customFormat="false" ht="15" hidden="false" customHeight="true" outlineLevel="0" collapsed="false">
      <c r="A35" s="4" t="s">
        <v>73</v>
      </c>
      <c r="B35" s="13" t="n">
        <f aca="false">B31/B32</f>
        <v>0.153846153846154</v>
      </c>
      <c r="C35" s="10" t="s">
        <v>36</v>
      </c>
      <c r="D35" s="12"/>
    </row>
    <row r="36" customFormat="false" ht="15" hidden="false" customHeight="true" outlineLevel="0" collapsed="false">
      <c r="A36" s="4" t="s">
        <v>74</v>
      </c>
      <c r="B36" s="5" t="s">
        <v>75</v>
      </c>
      <c r="C36" s="10" t="s">
        <v>31</v>
      </c>
      <c r="D36" s="10" t="s">
        <v>76</v>
      </c>
    </row>
    <row r="38" customFormat="false" ht="15" hidden="false" customHeight="true" outlineLevel="0" collapsed="false">
      <c r="A38" s="6" t="s">
        <v>77</v>
      </c>
      <c r="B38" s="7"/>
      <c r="C38" s="7"/>
      <c r="D38" s="7"/>
    </row>
    <row r="39" customFormat="false" ht="15" hidden="false" customHeight="true" outlineLevel="0" collapsed="false">
      <c r="A39" s="8" t="s">
        <v>26</v>
      </c>
      <c r="B39" s="8" t="s">
        <v>27</v>
      </c>
      <c r="C39" s="8" t="s">
        <v>28</v>
      </c>
      <c r="D39" s="8" t="s">
        <v>29</v>
      </c>
    </row>
    <row r="40" customFormat="false" ht="15" hidden="false" customHeight="true" outlineLevel="0" collapsed="false">
      <c r="A40" s="4" t="s">
        <v>78</v>
      </c>
      <c r="B40" s="9" t="n">
        <v>872837.88</v>
      </c>
      <c r="C40" s="10" t="s">
        <v>50</v>
      </c>
      <c r="D40" s="12"/>
    </row>
    <row r="41" customFormat="false" ht="15" hidden="false" customHeight="true" outlineLevel="0" collapsed="false">
      <c r="A41" s="4" t="s">
        <v>79</v>
      </c>
      <c r="B41" s="9" t="n">
        <v>89230.77</v>
      </c>
      <c r="C41" s="10" t="s">
        <v>50</v>
      </c>
      <c r="D41" s="12"/>
    </row>
    <row r="42" customFormat="false" ht="15" hidden="false" customHeight="true" outlineLevel="0" collapsed="false">
      <c r="A42" s="4" t="s">
        <v>80</v>
      </c>
      <c r="B42" s="9" t="n">
        <v>111570.37</v>
      </c>
      <c r="C42" s="10" t="s">
        <v>50</v>
      </c>
      <c r="D42" s="12"/>
    </row>
    <row r="43" customFormat="false" ht="15" hidden="false" customHeight="true" outlineLevel="0" collapsed="false">
      <c r="A43" s="4" t="s">
        <v>81</v>
      </c>
      <c r="B43" s="9" t="n">
        <v>100000</v>
      </c>
      <c r="C43" s="10" t="s">
        <v>50</v>
      </c>
      <c r="D43" s="12"/>
    </row>
    <row r="44" customFormat="false" ht="15" hidden="false" customHeight="true" outlineLevel="0" collapsed="false">
      <c r="A44" s="4" t="s">
        <v>82</v>
      </c>
      <c r="B44" s="9" t="n">
        <v>83100</v>
      </c>
      <c r="C44" s="10" t="s">
        <v>50</v>
      </c>
      <c r="D44" s="10" t="s">
        <v>83</v>
      </c>
    </row>
    <row r="45" customFormat="false" ht="15" hidden="false" customHeight="true" outlineLevel="0" collapsed="false">
      <c r="A45" s="14" t="s">
        <v>84</v>
      </c>
      <c r="B45" s="15" t="n">
        <f aca="false">SUM(B40:B44)</f>
        <v>1256739.02</v>
      </c>
      <c r="C45" s="16" t="s">
        <v>36</v>
      </c>
      <c r="D45" s="17"/>
    </row>
    <row r="46" customFormat="false" ht="15" hidden="false" customHeight="true" outlineLevel="0" collapsed="false">
      <c r="A46" s="4" t="s">
        <v>85</v>
      </c>
      <c r="B46" s="13" t="n">
        <f aca="false">B40/B45</f>
        <v>0.694525964507731</v>
      </c>
      <c r="C46" s="10" t="s">
        <v>36</v>
      </c>
      <c r="D46" s="12"/>
    </row>
    <row r="47" customFormat="false" ht="15" hidden="false" customHeight="true" outlineLevel="0" collapsed="false">
      <c r="A47" s="4" t="s">
        <v>86</v>
      </c>
      <c r="B47" s="13" t="n">
        <f aca="false">B41/B45</f>
        <v>0.0710018297991575</v>
      </c>
      <c r="C47" s="10" t="s">
        <v>36</v>
      </c>
      <c r="D47" s="12"/>
    </row>
    <row r="48" customFormat="false" ht="15" hidden="false" customHeight="true" outlineLevel="0" collapsed="false">
      <c r="A48" s="4" t="s">
        <v>87</v>
      </c>
      <c r="B48" s="13" t="n">
        <f aca="false">B42/B45</f>
        <v>0.0887776763707074</v>
      </c>
      <c r="C48" s="10" t="s">
        <v>36</v>
      </c>
      <c r="D48" s="12"/>
    </row>
    <row r="49" customFormat="false" ht="15" hidden="false" customHeight="true" outlineLevel="0" collapsed="false">
      <c r="A49" s="4" t="s">
        <v>88</v>
      </c>
      <c r="B49" s="13" t="n">
        <f aca="false">B43/B45</f>
        <v>0.0795710154682712</v>
      </c>
      <c r="C49" s="10" t="s">
        <v>36</v>
      </c>
      <c r="D49" s="12"/>
    </row>
    <row r="50" customFormat="false" ht="15" hidden="false" customHeight="true" outlineLevel="0" collapsed="false">
      <c r="A50" s="4" t="s">
        <v>89</v>
      </c>
      <c r="B50" s="13" t="n">
        <f aca="false">B44/B45</f>
        <v>0.0661235138541334</v>
      </c>
      <c r="C50" s="10" t="s">
        <v>36</v>
      </c>
      <c r="D50" s="12"/>
    </row>
    <row r="51" customFormat="false" ht="15" hidden="false" customHeight="true" outlineLevel="0" collapsed="false">
      <c r="A51" s="4" t="s">
        <v>90</v>
      </c>
      <c r="B51" s="5" t="s">
        <v>75</v>
      </c>
      <c r="C51" s="10" t="s">
        <v>31</v>
      </c>
      <c r="D51" s="10" t="s">
        <v>91</v>
      </c>
    </row>
    <row r="53" customFormat="false" ht="15" hidden="false" customHeight="true" outlineLevel="0" collapsed="false">
      <c r="A53" s="6" t="s">
        <v>92</v>
      </c>
      <c r="B53" s="7"/>
      <c r="C53" s="7"/>
      <c r="D53" s="7"/>
    </row>
    <row r="54" customFormat="false" ht="15" hidden="false" customHeight="true" outlineLevel="0" collapsed="false">
      <c r="A54" s="8" t="s">
        <v>26</v>
      </c>
      <c r="B54" s="8" t="s">
        <v>27</v>
      </c>
      <c r="C54" s="8" t="s">
        <v>28</v>
      </c>
      <c r="D54" s="8" t="s">
        <v>29</v>
      </c>
    </row>
    <row r="55" customFormat="false" ht="15" hidden="false" customHeight="true" outlineLevel="0" collapsed="false">
      <c r="A55" s="4" t="s">
        <v>93</v>
      </c>
      <c r="B55" s="5" t="s">
        <v>94</v>
      </c>
      <c r="C55" s="10" t="s">
        <v>31</v>
      </c>
      <c r="D55" s="10" t="s">
        <v>95</v>
      </c>
    </row>
    <row r="56" customFormat="false" ht="15" hidden="false" customHeight="true" outlineLevel="0" collapsed="false">
      <c r="A56" s="4" t="s">
        <v>96</v>
      </c>
      <c r="B56" s="5" t="s">
        <v>97</v>
      </c>
      <c r="C56" s="10" t="s">
        <v>31</v>
      </c>
      <c r="D56" s="10" t="s">
        <v>98</v>
      </c>
    </row>
    <row r="58" customFormat="false" ht="15" hidden="false" customHeight="true" outlineLevel="0" collapsed="false">
      <c r="A58" s="6" t="s">
        <v>99</v>
      </c>
      <c r="B58" s="7"/>
      <c r="C58" s="7"/>
      <c r="D58" s="7"/>
    </row>
    <row r="59" customFormat="false" ht="15" hidden="false" customHeight="true" outlineLevel="0" collapsed="false">
      <c r="A59" s="8" t="s">
        <v>26</v>
      </c>
      <c r="B59" s="8" t="s">
        <v>27</v>
      </c>
      <c r="C59" s="8" t="s">
        <v>28</v>
      </c>
      <c r="D59" s="8" t="s">
        <v>29</v>
      </c>
    </row>
    <row r="60" customFormat="false" ht="15" hidden="false" customHeight="true" outlineLevel="0" collapsed="false">
      <c r="A60" s="4" t="s">
        <v>100</v>
      </c>
      <c r="B60" s="9" t="n">
        <v>-215092</v>
      </c>
      <c r="C60" s="10" t="s">
        <v>50</v>
      </c>
      <c r="D60" s="10" t="s">
        <v>101</v>
      </c>
    </row>
    <row r="61" customFormat="false" ht="15" hidden="false" customHeight="true" outlineLevel="0" collapsed="false">
      <c r="A61" s="4" t="s">
        <v>102</v>
      </c>
      <c r="B61" s="5" t="s">
        <v>103</v>
      </c>
      <c r="C61" s="10" t="s">
        <v>31</v>
      </c>
      <c r="D61" s="10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30"/>
    <col collapsed="false" customWidth="true" hidden="false" outlineLevel="0" max="4" min="4" style="1" width="50"/>
  </cols>
  <sheetData>
    <row r="1" customFormat="false" ht="15.75" hidden="false" customHeight="true" outlineLevel="0" collapsed="false">
      <c r="A1" s="2" t="s">
        <v>105</v>
      </c>
    </row>
    <row r="3" customFormat="false" ht="15" hidden="false" customHeight="true" outlineLevel="0" collapsed="false">
      <c r="A3" s="6" t="s">
        <v>25</v>
      </c>
      <c r="B3" s="7"/>
      <c r="C3" s="7"/>
      <c r="D3" s="7"/>
    </row>
    <row r="4" customFormat="false" ht="15" hidden="false" customHeight="true" outlineLevel="0" collapsed="false">
      <c r="A4" s="8" t="s">
        <v>26</v>
      </c>
      <c r="B4" s="8" t="s">
        <v>27</v>
      </c>
      <c r="C4" s="8" t="s">
        <v>28</v>
      </c>
      <c r="D4" s="8" t="s">
        <v>29</v>
      </c>
    </row>
    <row r="5" customFormat="false" ht="15" hidden="false" customHeight="true" outlineLevel="0" collapsed="false">
      <c r="A5" s="4" t="s">
        <v>30</v>
      </c>
      <c r="B5" s="9" t="n">
        <v>32500</v>
      </c>
      <c r="C5" s="10" t="s">
        <v>31</v>
      </c>
      <c r="D5" s="10" t="s">
        <v>106</v>
      </c>
    </row>
    <row r="6" customFormat="false" ht="15" hidden="false" customHeight="true" outlineLevel="0" collapsed="false">
      <c r="A6" s="4" t="s">
        <v>33</v>
      </c>
      <c r="B6" s="9" t="n">
        <v>80000</v>
      </c>
      <c r="C6" s="10" t="s">
        <v>31</v>
      </c>
      <c r="D6" s="10" t="s">
        <v>107</v>
      </c>
    </row>
    <row r="7" customFormat="false" ht="15" hidden="false" customHeight="true" outlineLevel="0" collapsed="false">
      <c r="A7" s="4" t="s">
        <v>108</v>
      </c>
      <c r="B7" s="11" t="n">
        <f aca="false">B6-B5</f>
        <v>47500</v>
      </c>
      <c r="C7" s="10" t="s">
        <v>36</v>
      </c>
      <c r="D7" s="10" t="s">
        <v>109</v>
      </c>
    </row>
    <row r="8" customFormat="false" ht="15" hidden="false" customHeight="true" outlineLevel="0" collapsed="false">
      <c r="A8" s="4" t="s">
        <v>41</v>
      </c>
      <c r="B8" s="9" t="n">
        <v>125000</v>
      </c>
      <c r="C8" s="10" t="s">
        <v>31</v>
      </c>
      <c r="D8" s="10" t="s">
        <v>110</v>
      </c>
    </row>
    <row r="9" customFormat="false" ht="15" hidden="false" customHeight="true" outlineLevel="0" collapsed="false">
      <c r="A9" s="4" t="s">
        <v>43</v>
      </c>
      <c r="B9" s="9" t="n">
        <v>125000</v>
      </c>
      <c r="C9" s="10" t="s">
        <v>31</v>
      </c>
      <c r="D9" s="12"/>
    </row>
    <row r="10" customFormat="false" ht="15" hidden="false" customHeight="true" outlineLevel="0" collapsed="false">
      <c r="A10" s="4" t="s">
        <v>45</v>
      </c>
      <c r="B10" s="9" t="n">
        <v>175000</v>
      </c>
      <c r="C10" s="10" t="s">
        <v>31</v>
      </c>
      <c r="D10" s="12"/>
    </row>
    <row r="11" customFormat="false" ht="15" hidden="false" customHeight="true" outlineLevel="0" collapsed="false">
      <c r="A11" s="4" t="s">
        <v>47</v>
      </c>
      <c r="B11" s="11" t="n">
        <f aca="false">B8+B9</f>
        <v>250000</v>
      </c>
      <c r="C11" s="10" t="s">
        <v>36</v>
      </c>
      <c r="D11" s="12"/>
    </row>
    <row r="12" customFormat="false" ht="15" hidden="false" customHeight="true" outlineLevel="0" collapsed="false">
      <c r="A12" s="4" t="s">
        <v>48</v>
      </c>
      <c r="B12" s="11" t="n">
        <f aca="false">B8+B10</f>
        <v>300000</v>
      </c>
      <c r="C12" s="10" t="s">
        <v>36</v>
      </c>
      <c r="D12" s="10" t="s">
        <v>111</v>
      </c>
    </row>
    <row r="13" customFormat="false" ht="15" hidden="false" customHeight="true" outlineLevel="0" collapsed="false">
      <c r="A13" s="4" t="s">
        <v>49</v>
      </c>
      <c r="B13" s="9" t="n">
        <v>54375</v>
      </c>
      <c r="C13" s="10" t="s">
        <v>112</v>
      </c>
      <c r="D13" s="12"/>
    </row>
    <row r="14" customFormat="false" ht="15" hidden="false" customHeight="true" outlineLevel="0" collapsed="false">
      <c r="A14" s="4" t="s">
        <v>113</v>
      </c>
      <c r="B14" s="9" t="n">
        <v>60000</v>
      </c>
      <c r="C14" s="10" t="s">
        <v>112</v>
      </c>
      <c r="D14" s="10" t="s">
        <v>114</v>
      </c>
    </row>
    <row r="15" customFormat="false" ht="15" hidden="false" customHeight="true" outlineLevel="0" collapsed="false">
      <c r="A15" s="4" t="s">
        <v>115</v>
      </c>
      <c r="B15" s="9" t="n">
        <v>85000</v>
      </c>
      <c r="C15" s="10" t="s">
        <v>112</v>
      </c>
      <c r="D15" s="10" t="s">
        <v>116</v>
      </c>
    </row>
    <row r="16" customFormat="false" ht="15" hidden="false" customHeight="true" outlineLevel="0" collapsed="false">
      <c r="A16" s="4" t="s">
        <v>52</v>
      </c>
      <c r="B16" s="9" t="n">
        <v>0</v>
      </c>
      <c r="C16" s="10" t="s">
        <v>31</v>
      </c>
      <c r="D16" s="10" t="s">
        <v>117</v>
      </c>
    </row>
    <row r="17" customFormat="false" ht="15" hidden="false" customHeight="true" outlineLevel="0" collapsed="false">
      <c r="A17" s="4" t="s">
        <v>54</v>
      </c>
      <c r="B17" s="11" t="n">
        <f aca="false">SUM(B13:B16)</f>
        <v>199375</v>
      </c>
      <c r="C17" s="10" t="s">
        <v>36</v>
      </c>
      <c r="D17" s="12"/>
    </row>
    <row r="18" customFormat="false" ht="15" hidden="false" customHeight="true" outlineLevel="0" collapsed="false">
      <c r="A18" s="4" t="s">
        <v>55</v>
      </c>
      <c r="B18" s="11" t="n">
        <f aca="false">B17-B8</f>
        <v>74375</v>
      </c>
      <c r="C18" s="10" t="s">
        <v>36</v>
      </c>
      <c r="D18" s="12"/>
    </row>
    <row r="19" customFormat="false" ht="15" hidden="false" customHeight="true" outlineLevel="0" collapsed="false">
      <c r="A19" s="4" t="s">
        <v>56</v>
      </c>
      <c r="B19" s="11" t="n">
        <f aca="false">B17-B11</f>
        <v>-50625</v>
      </c>
      <c r="C19" s="10" t="s">
        <v>36</v>
      </c>
      <c r="D19" s="12"/>
    </row>
    <row r="20" customFormat="false" ht="15" hidden="false" customHeight="true" outlineLevel="0" collapsed="false">
      <c r="A20" s="4" t="s">
        <v>57</v>
      </c>
      <c r="B20" s="11" t="n">
        <f aca="false">B17-B12</f>
        <v>-100625</v>
      </c>
      <c r="C20" s="10" t="s">
        <v>36</v>
      </c>
      <c r="D20" s="12"/>
    </row>
    <row r="21" customFormat="false" ht="15" hidden="false" customHeight="true" outlineLevel="0" collapsed="false">
      <c r="A21" s="4" t="s">
        <v>59</v>
      </c>
      <c r="B21" s="11" t="n">
        <f aca="false">B18-B9</f>
        <v>-50625</v>
      </c>
      <c r="C21" s="10" t="s">
        <v>36</v>
      </c>
      <c r="D21" s="10" t="s">
        <v>118</v>
      </c>
    </row>
    <row r="22" customFormat="false" ht="15" hidden="false" customHeight="true" outlineLevel="0" collapsed="false">
      <c r="A22" s="4" t="s">
        <v>60</v>
      </c>
      <c r="B22" s="11" t="n">
        <f aca="false">B18-B10</f>
        <v>-100625</v>
      </c>
      <c r="C22" s="10" t="s">
        <v>36</v>
      </c>
      <c r="D22" s="12"/>
    </row>
    <row r="24" customFormat="false" ht="15" hidden="false" customHeight="true" outlineLevel="0" collapsed="false">
      <c r="A24" s="6" t="s">
        <v>61</v>
      </c>
      <c r="B24" s="7"/>
      <c r="C24" s="7"/>
      <c r="D24" s="7"/>
    </row>
    <row r="25" customFormat="false" ht="15" hidden="false" customHeight="true" outlineLevel="0" collapsed="false">
      <c r="A25" s="8" t="s">
        <v>26</v>
      </c>
      <c r="B25" s="8" t="s">
        <v>27</v>
      </c>
      <c r="C25" s="8" t="s">
        <v>28</v>
      </c>
      <c r="D25" s="8" t="s">
        <v>29</v>
      </c>
    </row>
    <row r="26" customFormat="false" ht="15" hidden="false" customHeight="true" outlineLevel="0" collapsed="false">
      <c r="A26" s="4" t="s">
        <v>62</v>
      </c>
      <c r="B26" s="5" t="s">
        <v>63</v>
      </c>
      <c r="C26" s="10" t="s">
        <v>64</v>
      </c>
      <c r="D26" s="10" t="s">
        <v>65</v>
      </c>
    </row>
    <row r="28" customFormat="false" ht="15" hidden="false" customHeight="true" outlineLevel="0" collapsed="false">
      <c r="A28" s="6" t="s">
        <v>66</v>
      </c>
      <c r="B28" s="7"/>
      <c r="C28" s="7"/>
      <c r="D28" s="7"/>
    </row>
    <row r="29" customFormat="false" ht="15" hidden="false" customHeight="true" outlineLevel="0" collapsed="false">
      <c r="A29" s="8" t="s">
        <v>26</v>
      </c>
      <c r="B29" s="8" t="s">
        <v>27</v>
      </c>
      <c r="C29" s="8" t="s">
        <v>28</v>
      </c>
      <c r="D29" s="8" t="s">
        <v>29</v>
      </c>
    </row>
    <row r="30" customFormat="false" ht="15" hidden="false" customHeight="true" outlineLevel="0" collapsed="false">
      <c r="A30" s="4" t="s">
        <v>119</v>
      </c>
      <c r="B30" s="9" t="n">
        <v>60000</v>
      </c>
      <c r="C30" s="10" t="s">
        <v>31</v>
      </c>
      <c r="D30" s="10" t="s">
        <v>120</v>
      </c>
    </row>
    <row r="31" customFormat="false" ht="15" hidden="false" customHeight="true" outlineLevel="0" collapsed="false">
      <c r="A31" s="4" t="s">
        <v>121</v>
      </c>
      <c r="B31" s="9" t="n">
        <v>20000</v>
      </c>
      <c r="C31" s="10" t="s">
        <v>31</v>
      </c>
      <c r="D31" s="12"/>
    </row>
    <row r="32" customFormat="false" ht="15" hidden="false" customHeight="true" outlineLevel="0" collapsed="false">
      <c r="A32" s="4" t="s">
        <v>70</v>
      </c>
      <c r="B32" s="11" t="n">
        <f aca="false">SUM(B30:B31)</f>
        <v>80000</v>
      </c>
      <c r="C32" s="10" t="s">
        <v>36</v>
      </c>
      <c r="D32" s="12"/>
    </row>
    <row r="33" customFormat="false" ht="15" hidden="false" customHeight="true" outlineLevel="0" collapsed="false">
      <c r="A33" s="4" t="s">
        <v>122</v>
      </c>
      <c r="B33" s="13" t="n">
        <f aca="false">B30/B32</f>
        <v>0.75</v>
      </c>
      <c r="C33" s="10" t="s">
        <v>36</v>
      </c>
      <c r="D33" s="12"/>
    </row>
    <row r="34" customFormat="false" ht="15" hidden="false" customHeight="true" outlineLevel="0" collapsed="false">
      <c r="A34" s="4" t="s">
        <v>123</v>
      </c>
      <c r="B34" s="13" t="n">
        <f aca="false">B31/B32</f>
        <v>0.25</v>
      </c>
      <c r="C34" s="10" t="s">
        <v>36</v>
      </c>
      <c r="D34" s="12"/>
    </row>
    <row r="35" customFormat="false" ht="15" hidden="false" customHeight="true" outlineLevel="0" collapsed="false">
      <c r="A35" s="4" t="s">
        <v>74</v>
      </c>
      <c r="B35" s="5" t="s">
        <v>75</v>
      </c>
      <c r="C35" s="10" t="s">
        <v>31</v>
      </c>
      <c r="D35" s="10" t="s">
        <v>124</v>
      </c>
    </row>
    <row r="37" customFormat="false" ht="15" hidden="false" customHeight="true" outlineLevel="0" collapsed="false">
      <c r="A37" s="6" t="s">
        <v>77</v>
      </c>
      <c r="B37" s="7"/>
      <c r="C37" s="7"/>
      <c r="D37" s="7"/>
    </row>
    <row r="38" customFormat="false" ht="15" hidden="false" customHeight="true" outlineLevel="0" collapsed="false">
      <c r="A38" s="8" t="s">
        <v>26</v>
      </c>
      <c r="B38" s="8" t="s">
        <v>27</v>
      </c>
      <c r="C38" s="8" t="s">
        <v>28</v>
      </c>
      <c r="D38" s="8" t="s">
        <v>29</v>
      </c>
    </row>
    <row r="39" customFormat="false" ht="15" hidden="false" customHeight="true" outlineLevel="0" collapsed="false">
      <c r="A39" s="4" t="s">
        <v>125</v>
      </c>
      <c r="B39" s="9" t="n">
        <v>2183088.49</v>
      </c>
      <c r="C39" s="10" t="s">
        <v>112</v>
      </c>
      <c r="D39" s="12"/>
    </row>
    <row r="40" customFormat="false" ht="15" hidden="false" customHeight="true" outlineLevel="0" collapsed="false">
      <c r="A40" s="4" t="s">
        <v>126</v>
      </c>
      <c r="B40" s="9" t="n">
        <v>1157519.11</v>
      </c>
      <c r="C40" s="10" t="s">
        <v>112</v>
      </c>
      <c r="D40" s="10" t="s">
        <v>127</v>
      </c>
    </row>
    <row r="41" customFormat="false" ht="15" hidden="false" customHeight="true" outlineLevel="0" collapsed="false">
      <c r="A41" s="4" t="s">
        <v>128</v>
      </c>
      <c r="B41" s="9" t="n">
        <v>538013.75</v>
      </c>
      <c r="C41" s="10" t="s">
        <v>112</v>
      </c>
      <c r="D41" s="12"/>
    </row>
    <row r="42" customFormat="false" ht="15" hidden="false" customHeight="true" outlineLevel="0" collapsed="false">
      <c r="A42" s="4" t="s">
        <v>129</v>
      </c>
      <c r="B42" s="9" t="n">
        <v>139351.5</v>
      </c>
      <c r="C42" s="10" t="s">
        <v>112</v>
      </c>
      <c r="D42" s="12"/>
    </row>
    <row r="43" customFormat="false" ht="15" hidden="false" customHeight="true" outlineLevel="0" collapsed="false">
      <c r="A43" s="4" t="s">
        <v>130</v>
      </c>
      <c r="B43" s="9" t="n">
        <v>199375</v>
      </c>
      <c r="C43" s="10" t="s">
        <v>112</v>
      </c>
      <c r="D43" s="10" t="s">
        <v>131</v>
      </c>
    </row>
    <row r="44" customFormat="false" ht="15" hidden="false" customHeight="true" outlineLevel="0" collapsed="false">
      <c r="A44" s="14" t="s">
        <v>84</v>
      </c>
      <c r="B44" s="15" t="n">
        <f aca="false">SUM(B39:B43)</f>
        <v>4217347.85</v>
      </c>
      <c r="C44" s="16" t="s">
        <v>36</v>
      </c>
      <c r="D44" s="17"/>
    </row>
    <row r="45" customFormat="false" ht="15" hidden="false" customHeight="true" outlineLevel="0" collapsed="false">
      <c r="A45" s="4" t="s">
        <v>132</v>
      </c>
      <c r="B45" s="13" t="n">
        <f aca="false">B39/B44</f>
        <v>0.517644872475957</v>
      </c>
      <c r="C45" s="10" t="s">
        <v>36</v>
      </c>
      <c r="D45" s="12"/>
    </row>
    <row r="46" customFormat="false" ht="15" hidden="false" customHeight="true" outlineLevel="0" collapsed="false">
      <c r="A46" s="4" t="s">
        <v>133</v>
      </c>
      <c r="B46" s="13" t="n">
        <f aca="false">B40/B44</f>
        <v>0.274466122115111</v>
      </c>
      <c r="C46" s="10" t="s">
        <v>36</v>
      </c>
      <c r="D46" s="12"/>
    </row>
    <row r="47" customFormat="false" ht="15" hidden="false" customHeight="true" outlineLevel="0" collapsed="false">
      <c r="A47" s="4" t="s">
        <v>134</v>
      </c>
      <c r="B47" s="13" t="n">
        <f aca="false">B41/B44</f>
        <v>0.127571585066193</v>
      </c>
      <c r="C47" s="10" t="s">
        <v>36</v>
      </c>
      <c r="D47" s="12"/>
    </row>
    <row r="48" customFormat="false" ht="15" hidden="false" customHeight="true" outlineLevel="0" collapsed="false">
      <c r="A48" s="4" t="s">
        <v>87</v>
      </c>
      <c r="B48" s="13" t="n">
        <f aca="false">B42/B44</f>
        <v>0.0330424487038697</v>
      </c>
      <c r="C48" s="10" t="s">
        <v>36</v>
      </c>
      <c r="D48" s="12"/>
    </row>
    <row r="49" customFormat="false" ht="15" hidden="false" customHeight="true" outlineLevel="0" collapsed="false">
      <c r="A49" s="4" t="s">
        <v>135</v>
      </c>
      <c r="B49" s="13" t="n">
        <f aca="false">B43/B44</f>
        <v>0.0472749716388701</v>
      </c>
      <c r="C49" s="10" t="s">
        <v>36</v>
      </c>
      <c r="D49" s="12"/>
    </row>
    <row r="51" customFormat="false" ht="15" hidden="false" customHeight="true" outlineLevel="0" collapsed="false">
      <c r="A51" s="3" t="s">
        <v>136</v>
      </c>
    </row>
    <row r="52" customFormat="false" ht="15" hidden="false" customHeight="true" outlineLevel="0" collapsed="false">
      <c r="A52" s="4" t="s">
        <v>137</v>
      </c>
      <c r="B52" s="9" t="n">
        <v>356040</v>
      </c>
      <c r="C52" s="10" t="s">
        <v>138</v>
      </c>
      <c r="D52" s="12"/>
    </row>
    <row r="53" customFormat="false" ht="15" hidden="false" customHeight="true" outlineLevel="0" collapsed="false">
      <c r="A53" s="4" t="s">
        <v>139</v>
      </c>
      <c r="B53" s="9" t="n">
        <v>125804.4</v>
      </c>
      <c r="C53" s="10" t="s">
        <v>138</v>
      </c>
      <c r="D53" s="12"/>
    </row>
    <row r="54" customFormat="false" ht="15" hidden="false" customHeight="true" outlineLevel="0" collapsed="false">
      <c r="A54" s="4" t="s">
        <v>140</v>
      </c>
      <c r="B54" s="9" t="n">
        <v>56169.35</v>
      </c>
      <c r="C54" s="10" t="s">
        <v>138</v>
      </c>
      <c r="D54" s="12"/>
    </row>
    <row r="55" customFormat="false" ht="15" hidden="false" customHeight="true" outlineLevel="0" collapsed="false">
      <c r="A55" s="4" t="s">
        <v>141</v>
      </c>
      <c r="B55" s="13" t="n">
        <f aca="false">B52/B41</f>
        <v>0.661767473414945</v>
      </c>
      <c r="C55" s="10" t="s">
        <v>36</v>
      </c>
      <c r="D55" s="12"/>
    </row>
    <row r="56" customFormat="false" ht="15" hidden="false" customHeight="true" outlineLevel="0" collapsed="false">
      <c r="A56" s="4" t="s">
        <v>142</v>
      </c>
      <c r="B56" s="13" t="n">
        <f aca="false">B53/B41</f>
        <v>0.233831198552082</v>
      </c>
      <c r="C56" s="10" t="s">
        <v>36</v>
      </c>
      <c r="D56" s="12"/>
    </row>
    <row r="57" customFormat="false" ht="15" hidden="false" customHeight="true" outlineLevel="0" collapsed="false">
      <c r="A57" s="4" t="s">
        <v>143</v>
      </c>
      <c r="B57" s="13" t="n">
        <f aca="false">B54/B41</f>
        <v>0.104401328032973</v>
      </c>
      <c r="C57" s="10" t="s">
        <v>36</v>
      </c>
      <c r="D57" s="12"/>
    </row>
    <row r="58" customFormat="false" ht="15" hidden="false" customHeight="true" outlineLevel="0" collapsed="false">
      <c r="A58" s="4" t="s">
        <v>90</v>
      </c>
      <c r="B58" s="5" t="s">
        <v>75</v>
      </c>
      <c r="C58" s="10" t="s">
        <v>31</v>
      </c>
      <c r="D58" s="10" t="s">
        <v>144</v>
      </c>
    </row>
    <row r="60" customFormat="false" ht="15" hidden="false" customHeight="true" outlineLevel="0" collapsed="false">
      <c r="A60" s="6" t="s">
        <v>92</v>
      </c>
      <c r="B60" s="7"/>
      <c r="C60" s="7"/>
      <c r="D60" s="7"/>
    </row>
    <row r="61" customFormat="false" ht="15" hidden="false" customHeight="true" outlineLevel="0" collapsed="false">
      <c r="A61" s="8" t="s">
        <v>26</v>
      </c>
      <c r="B61" s="8" t="s">
        <v>27</v>
      </c>
      <c r="C61" s="8" t="s">
        <v>28</v>
      </c>
      <c r="D61" s="8" t="s">
        <v>29</v>
      </c>
    </row>
    <row r="62" customFormat="false" ht="15" hidden="false" customHeight="true" outlineLevel="0" collapsed="false">
      <c r="A62" s="4" t="s">
        <v>145</v>
      </c>
      <c r="B62" s="5" t="s">
        <v>146</v>
      </c>
      <c r="C62" s="10" t="s">
        <v>147</v>
      </c>
      <c r="D62" s="10" t="s">
        <v>148</v>
      </c>
    </row>
    <row r="63" customFormat="false" ht="15" hidden="false" customHeight="true" outlineLevel="0" collapsed="false">
      <c r="A63" s="4" t="s">
        <v>149</v>
      </c>
      <c r="B63" s="18" t="n">
        <f aca="true">DATE(2026,9,29)-TODAY()</f>
        <v>47</v>
      </c>
      <c r="C63" s="10" t="s">
        <v>36</v>
      </c>
      <c r="D63" s="12"/>
    </row>
    <row r="64" customFormat="false" ht="15" hidden="false" customHeight="true" outlineLevel="0" collapsed="false">
      <c r="A64" s="4" t="s">
        <v>150</v>
      </c>
      <c r="B64" s="5" t="s">
        <v>151</v>
      </c>
      <c r="C64" s="10" t="s">
        <v>147</v>
      </c>
      <c r="D64" s="10" t="s">
        <v>152</v>
      </c>
    </row>
    <row r="65" customFormat="false" ht="15" hidden="false" customHeight="true" outlineLevel="0" collapsed="false">
      <c r="A65" s="4" t="s">
        <v>149</v>
      </c>
      <c r="B65" s="18" t="n">
        <f aca="true">DATE(2026,8,26)-TODAY()</f>
        <v>13</v>
      </c>
      <c r="C65" s="10" t="s">
        <v>36</v>
      </c>
      <c r="D65" s="10" t="s">
        <v>153</v>
      </c>
    </row>
    <row r="67" customFormat="false" ht="15" hidden="false" customHeight="true" outlineLevel="0" collapsed="false">
      <c r="A67" s="4" t="s">
        <v>96</v>
      </c>
      <c r="B67" s="5" t="s">
        <v>97</v>
      </c>
      <c r="C67" s="10" t="s">
        <v>31</v>
      </c>
      <c r="D67" s="10" t="s">
        <v>154</v>
      </c>
    </row>
    <row r="69" customFormat="false" ht="15" hidden="false" customHeight="true" outlineLevel="0" collapsed="false">
      <c r="A69" s="6" t="s">
        <v>99</v>
      </c>
      <c r="B69" s="7"/>
      <c r="C69" s="7"/>
      <c r="D69" s="7"/>
    </row>
    <row r="70" customFormat="false" ht="15" hidden="false" customHeight="true" outlineLevel="0" collapsed="false">
      <c r="A70" s="8" t="s">
        <v>26</v>
      </c>
      <c r="B70" s="8" t="s">
        <v>27</v>
      </c>
      <c r="C70" s="8" t="s">
        <v>28</v>
      </c>
      <c r="D70" s="8" t="s">
        <v>29</v>
      </c>
    </row>
    <row r="71" customFormat="false" ht="45" hidden="false" customHeight="true" outlineLevel="0" collapsed="false">
      <c r="A71" s="4" t="s">
        <v>155</v>
      </c>
      <c r="B71" s="9" t="n">
        <v>1157519.11</v>
      </c>
      <c r="C71" s="10" t="s">
        <v>31</v>
      </c>
      <c r="D71" s="10" t="s">
        <v>156</v>
      </c>
    </row>
    <row r="72" customFormat="false" ht="15" hidden="false" customHeight="true" outlineLevel="0" collapsed="false">
      <c r="A72" s="4" t="s">
        <v>100</v>
      </c>
      <c r="B72" s="9" t="n">
        <v>-162000</v>
      </c>
      <c r="C72" s="10" t="s">
        <v>157</v>
      </c>
      <c r="D72" s="10" t="s">
        <v>158</v>
      </c>
    </row>
    <row r="73" customFormat="false" ht="15" hidden="false" customHeight="true" outlineLevel="0" collapsed="false">
      <c r="A73" s="4" t="s">
        <v>102</v>
      </c>
      <c r="B73" s="5" t="s">
        <v>103</v>
      </c>
      <c r="C73" s="10" t="s">
        <v>31</v>
      </c>
      <c r="D73" s="10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52"/>
  </cols>
  <sheetData>
    <row r="1" customFormat="false" ht="15.75" hidden="false" customHeight="true" outlineLevel="0" collapsed="false">
      <c r="A1" s="19" t="s">
        <v>160</v>
      </c>
      <c r="B1" s="19"/>
      <c r="C1" s="19"/>
      <c r="D1" s="19"/>
      <c r="E1" s="19"/>
    </row>
    <row r="2" customFormat="false" ht="15" hidden="false" customHeight="true" outlineLevel="0" collapsed="false">
      <c r="A2" s="20" t="s">
        <v>161</v>
      </c>
      <c r="B2" s="20"/>
      <c r="C2" s="20"/>
      <c r="D2" s="20"/>
      <c r="E2" s="20"/>
    </row>
    <row r="4" customFormat="false" ht="15" hidden="false" customHeight="true" outlineLevel="0" collapsed="false">
      <c r="A4" s="21" t="s">
        <v>162</v>
      </c>
      <c r="B4" s="21"/>
      <c r="C4" s="21"/>
      <c r="D4" s="21"/>
      <c r="E4" s="21"/>
    </row>
    <row r="5" customFormat="false" ht="15" hidden="false" customHeight="true" outlineLevel="0" collapsed="false">
      <c r="A5" s="22" t="s">
        <v>163</v>
      </c>
      <c r="B5" s="22" t="s">
        <v>164</v>
      </c>
      <c r="C5" s="22" t="s">
        <v>27</v>
      </c>
      <c r="D5" s="22" t="s">
        <v>165</v>
      </c>
      <c r="E5" s="22" t="s">
        <v>29</v>
      </c>
    </row>
    <row r="6" customFormat="false" ht="15" hidden="false" customHeight="true" outlineLevel="0" collapsed="false">
      <c r="A6" s="23" t="s">
        <v>166</v>
      </c>
      <c r="B6" s="24" t="str">
        <f aca="false">AMS!A41</f>
        <v>Fondo Monetario</v>
      </c>
      <c r="C6" s="25" t="n">
        <f aca="false">AMS!B41</f>
        <v>89230.77</v>
      </c>
      <c r="D6" s="26" t="s">
        <v>167</v>
      </c>
      <c r="E6" s="27"/>
    </row>
    <row r="7" customFormat="false" ht="15" hidden="false" customHeight="true" outlineLevel="0" collapsed="false">
      <c r="A7" s="23"/>
      <c r="B7" s="24" t="str">
        <f aca="false">AMS!A44</f>
        <v>Liquidez (excluido FM)</v>
      </c>
      <c r="C7" s="25" t="n">
        <f aca="false">AMS!B44</f>
        <v>83100</v>
      </c>
      <c r="D7" s="26" t="s">
        <v>168</v>
      </c>
      <c r="E7" s="27"/>
    </row>
    <row r="8" customFormat="false" ht="15" hidden="false" customHeight="true" outlineLevel="0" collapsed="false">
      <c r="A8" s="28"/>
      <c r="B8" s="29" t="s">
        <v>169</v>
      </c>
      <c r="C8" s="30" t="n">
        <f aca="false">SUM(C6:C7)</f>
        <v>172330.77</v>
      </c>
      <c r="D8" s="28"/>
      <c r="E8" s="28"/>
    </row>
    <row r="9" customFormat="false" ht="15" hidden="false" customHeight="true" outlineLevel="0" collapsed="false">
      <c r="A9" s="31" t="s">
        <v>170</v>
      </c>
      <c r="B9" s="32" t="str">
        <f aca="false">AMS!A40</f>
        <v>SP500 (fondos indexados)</v>
      </c>
      <c r="C9" s="33" t="n">
        <f aca="false">AMS!B40</f>
        <v>872837.88</v>
      </c>
      <c r="D9" s="34" t="s">
        <v>171</v>
      </c>
      <c r="E9" s="35"/>
    </row>
    <row r="10" customFormat="false" ht="15" hidden="false" customHeight="true" outlineLevel="0" collapsed="false">
      <c r="A10" s="36"/>
      <c r="B10" s="37" t="s">
        <v>172</v>
      </c>
      <c r="C10" s="38" t="n">
        <f aca="false">C9</f>
        <v>872837.88</v>
      </c>
      <c r="D10" s="36"/>
      <c r="E10" s="36"/>
    </row>
    <row r="11" customFormat="false" ht="15" hidden="false" customHeight="true" outlineLevel="0" collapsed="false">
      <c r="A11" s="39" t="s">
        <v>173</v>
      </c>
      <c r="B11" s="40" t="str">
        <f aca="false">AMS!A42</f>
        <v>ETF</v>
      </c>
      <c r="C11" s="41" t="n">
        <f aca="false">AMS!B42</f>
        <v>111570.37</v>
      </c>
      <c r="D11" s="42" t="s">
        <v>174</v>
      </c>
      <c r="E11" s="43"/>
    </row>
    <row r="12" customFormat="false" ht="15" hidden="false" customHeight="true" outlineLevel="0" collapsed="false">
      <c r="A12" s="39"/>
      <c r="B12" s="40" t="str">
        <f aca="false">AMS!A43</f>
        <v>Pisos</v>
      </c>
      <c r="C12" s="41" t="n">
        <f aca="false">AMS!B43</f>
        <v>100000</v>
      </c>
      <c r="D12" s="42" t="s">
        <v>175</v>
      </c>
      <c r="E12" s="43"/>
    </row>
    <row r="13" customFormat="false" ht="15" hidden="false" customHeight="true" outlineLevel="0" collapsed="false">
      <c r="A13" s="44"/>
      <c r="B13" s="45" t="s">
        <v>176</v>
      </c>
      <c r="C13" s="46" t="n">
        <f aca="false">SUM(C11:C12)</f>
        <v>211570.37</v>
      </c>
      <c r="D13" s="44"/>
      <c r="E13" s="44"/>
    </row>
    <row r="15" customFormat="false" ht="15" hidden="false" customHeight="true" outlineLevel="0" collapsed="false">
      <c r="A15" s="47" t="s">
        <v>177</v>
      </c>
      <c r="B15" s="47"/>
      <c r="C15" s="48" t="n">
        <f aca="false">C8+C10+C13</f>
        <v>1256739.02</v>
      </c>
      <c r="D15" s="49"/>
      <c r="E15" s="49"/>
    </row>
    <row r="16" customFormat="false" ht="18.75" hidden="false" customHeight="true" outlineLevel="0" collapsed="false">
      <c r="B16" s="50" t="s">
        <v>178</v>
      </c>
      <c r="C16" s="51" t="n">
        <f aca="false">C15-AMS!B45</f>
        <v>0</v>
      </c>
      <c r="E16" s="52" t="s">
        <v>179</v>
      </c>
    </row>
    <row r="19" customFormat="false" ht="15" hidden="false" customHeight="true" outlineLevel="0" collapsed="false">
      <c r="A19" s="21" t="s">
        <v>180</v>
      </c>
      <c r="B19" s="21"/>
      <c r="C19" s="21"/>
      <c r="D19" s="21"/>
      <c r="E19" s="21"/>
    </row>
    <row r="20" customFormat="false" ht="15" hidden="false" customHeight="true" outlineLevel="0" collapsed="false">
      <c r="A20" s="22" t="s">
        <v>163</v>
      </c>
      <c r="B20" s="22" t="s">
        <v>164</v>
      </c>
      <c r="C20" s="22" t="s">
        <v>27</v>
      </c>
      <c r="D20" s="22" t="s">
        <v>165</v>
      </c>
      <c r="E20" s="22" t="s">
        <v>29</v>
      </c>
    </row>
    <row r="21" customFormat="false" ht="15" hidden="false" customHeight="true" outlineLevel="0" collapsed="false">
      <c r="A21" s="23" t="s">
        <v>166</v>
      </c>
      <c r="B21" s="24" t="str">
        <f aca="false">AML!A43</f>
        <v>Liquidez + Depósitos (excluido FM)</v>
      </c>
      <c r="C21" s="25" t="n">
        <f aca="false">AML!B43</f>
        <v>199375</v>
      </c>
      <c r="D21" s="26" t="s">
        <v>181</v>
      </c>
      <c r="E21" s="27"/>
    </row>
    <row r="22" customFormat="false" ht="15" hidden="false" customHeight="true" outlineLevel="0" collapsed="false">
      <c r="A22" s="28"/>
      <c r="B22" s="29" t="s">
        <v>169</v>
      </c>
      <c r="C22" s="30" t="n">
        <f aca="false">C21</f>
        <v>199375</v>
      </c>
      <c r="D22" s="28"/>
      <c r="E22" s="28"/>
    </row>
    <row r="23" customFormat="false" ht="15" hidden="false" customHeight="true" outlineLevel="0" collapsed="false">
      <c r="A23" s="31" t="s">
        <v>170</v>
      </c>
      <c r="B23" s="32" t="str">
        <f aca="false">AML!A39</f>
        <v>Fondos RV</v>
      </c>
      <c r="C23" s="33" t="n">
        <f aca="false">AML!B39</f>
        <v>2183088.49</v>
      </c>
      <c r="D23" s="34" t="s">
        <v>182</v>
      </c>
      <c r="E23" s="35"/>
    </row>
    <row r="24" customFormat="false" ht="30" hidden="false" customHeight="true" outlineLevel="0" collapsed="false">
      <c r="A24" s="31"/>
      <c r="B24" s="32" t="str">
        <f aca="false">AML!A40</f>
        <v>Planes de Pensiones (Papá 754.162,54 + Mamá 403.356,58)</v>
      </c>
      <c r="C24" s="33" t="n">
        <f aca="false">AML!B40</f>
        <v>1157519.11</v>
      </c>
      <c r="D24" s="34" t="s">
        <v>183</v>
      </c>
      <c r="E24" s="53" t="s">
        <v>184</v>
      </c>
    </row>
    <row r="25" customFormat="false" ht="15" hidden="false" customHeight="true" outlineLevel="0" collapsed="false">
      <c r="A25" s="36"/>
      <c r="B25" s="37" t="s">
        <v>172</v>
      </c>
      <c r="C25" s="38" t="n">
        <f aca="false">SUM(C23:C24)</f>
        <v>3340607.6</v>
      </c>
      <c r="D25" s="36"/>
      <c r="E25" s="36"/>
    </row>
    <row r="26" customFormat="false" ht="30" hidden="false" customHeight="true" outlineLevel="0" collapsed="false">
      <c r="A26" s="39" t="s">
        <v>173</v>
      </c>
      <c r="B26" s="40" t="str">
        <f aca="false">AML!A41</f>
        <v>Acciones (Iberdrola 356.040 + BBVA 125.804,4 + TEF 56.169,35)</v>
      </c>
      <c r="C26" s="41" t="n">
        <f aca="false">AML!B41</f>
        <v>538013.75</v>
      </c>
      <c r="D26" s="42" t="s">
        <v>185</v>
      </c>
      <c r="E26" s="54" t="s">
        <v>186</v>
      </c>
    </row>
    <row r="27" customFormat="false" ht="15" hidden="false" customHeight="true" outlineLevel="0" collapsed="false">
      <c r="A27" s="39"/>
      <c r="B27" s="40" t="str">
        <f aca="false">AML!A42</f>
        <v>ETF (Aristócratas)</v>
      </c>
      <c r="C27" s="41" t="n">
        <f aca="false">AML!B42</f>
        <v>139351.5</v>
      </c>
      <c r="D27" s="42" t="s">
        <v>187</v>
      </c>
      <c r="E27" s="43"/>
    </row>
    <row r="28" customFormat="false" ht="15" hidden="false" customHeight="true" outlineLevel="0" collapsed="false">
      <c r="A28" s="44"/>
      <c r="B28" s="45" t="s">
        <v>176</v>
      </c>
      <c r="C28" s="46" t="n">
        <f aca="false">SUM(C26:C27)</f>
        <v>677365.25</v>
      </c>
      <c r="D28" s="44"/>
      <c r="E28" s="44"/>
    </row>
    <row r="30" customFormat="false" ht="15" hidden="false" customHeight="true" outlineLevel="0" collapsed="false">
      <c r="A30" s="47" t="s">
        <v>188</v>
      </c>
      <c r="B30" s="47"/>
      <c r="C30" s="48" t="n">
        <f aca="false">C22+C25+C28</f>
        <v>4217347.85</v>
      </c>
      <c r="D30" s="49"/>
      <c r="E30" s="49"/>
    </row>
    <row r="31" customFormat="false" ht="18.75" hidden="false" customHeight="true" outlineLevel="0" collapsed="false">
      <c r="B31" s="50" t="s">
        <v>178</v>
      </c>
      <c r="C31" s="51" t="n">
        <f aca="false">C30-AML!B44</f>
        <v>0</v>
      </c>
      <c r="E31" s="52" t="s">
        <v>179</v>
      </c>
    </row>
    <row r="33" customFormat="false" ht="15" hidden="false" customHeight="true" outlineLevel="0" collapsed="false">
      <c r="A33" s="55" t="s">
        <v>189</v>
      </c>
      <c r="B33" s="55"/>
      <c r="C33" s="55"/>
      <c r="D33" s="55"/>
      <c r="E33" s="55"/>
    </row>
    <row r="34" customFormat="false" ht="15" hidden="false" customHeight="true" outlineLevel="0" collapsed="false">
      <c r="A34" s="55"/>
      <c r="B34" s="55"/>
      <c r="C34" s="55"/>
      <c r="D34" s="55"/>
      <c r="E34" s="55"/>
    </row>
    <row r="35" customFormat="false" ht="15" hidden="false" customHeight="true" outlineLevel="0" collapsed="false">
      <c r="A35" s="55"/>
      <c r="B35" s="55"/>
      <c r="C35" s="55"/>
      <c r="D35" s="55"/>
      <c r="E35" s="55"/>
    </row>
  </sheetData>
  <mergeCells count="11">
    <mergeCell ref="A1:E1"/>
    <mergeCell ref="A2:E2"/>
    <mergeCell ref="A4:E4"/>
    <mergeCell ref="A6:A7"/>
    <mergeCell ref="A11:A12"/>
    <mergeCell ref="A15:B15"/>
    <mergeCell ref="A19:E19"/>
    <mergeCell ref="A23:A24"/>
    <mergeCell ref="A26:A27"/>
    <mergeCell ref="A30:B30"/>
    <mergeCell ref="A33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6"/>
  </cols>
  <sheetData>
    <row r="1" customFormat="false" ht="15.75" hidden="false" customHeight="true" outlineLevel="0" collapsed="false">
      <c r="A1" s="19" t="s">
        <v>190</v>
      </c>
      <c r="B1" s="19"/>
      <c r="C1" s="19"/>
      <c r="D1" s="19"/>
      <c r="E1" s="19"/>
    </row>
    <row r="2" customFormat="false" ht="13.5" hidden="false" customHeight="true" outlineLevel="0" collapsed="false">
      <c r="A2" s="20" t="s">
        <v>191</v>
      </c>
      <c r="B2" s="20"/>
      <c r="C2" s="20"/>
      <c r="D2" s="20"/>
      <c r="E2" s="20"/>
    </row>
    <row r="4" customFormat="false" ht="15" hidden="false" customHeight="true" outlineLevel="0" collapsed="false">
      <c r="A4" s="21" t="s">
        <v>192</v>
      </c>
      <c r="B4" s="21"/>
      <c r="C4" s="21"/>
      <c r="D4" s="21"/>
      <c r="E4" s="21"/>
    </row>
    <row r="5" customFormat="false" ht="15" hidden="false" customHeight="true" outlineLevel="0" collapsed="false">
      <c r="A5" s="22" t="s">
        <v>26</v>
      </c>
      <c r="B5" s="22" t="s">
        <v>27</v>
      </c>
      <c r="C5" s="22" t="s">
        <v>28</v>
      </c>
      <c r="D5" s="22" t="s">
        <v>29</v>
      </c>
      <c r="E5" s="22"/>
    </row>
    <row r="6" customFormat="false" ht="42" hidden="false" customHeight="true" outlineLevel="0" collapsed="false">
      <c r="A6" s="56" t="s">
        <v>193</v>
      </c>
      <c r="B6" s="57" t="n">
        <v>0.07</v>
      </c>
      <c r="C6" s="58" t="s">
        <v>31</v>
      </c>
      <c r="D6" s="59" t="s">
        <v>194</v>
      </c>
      <c r="E6" s="59"/>
    </row>
    <row r="7" customFormat="false" ht="42" hidden="false" customHeight="true" outlineLevel="0" collapsed="false">
      <c r="A7" s="56" t="s">
        <v>195</v>
      </c>
      <c r="B7" s="57" t="n">
        <v>0.094</v>
      </c>
      <c r="C7" s="58" t="s">
        <v>31</v>
      </c>
      <c r="D7" s="59" t="s">
        <v>196</v>
      </c>
      <c r="E7" s="59"/>
    </row>
    <row r="9" customFormat="false" ht="15" hidden="false" customHeight="true" outlineLevel="0" collapsed="false">
      <c r="A9" s="21" t="s">
        <v>197</v>
      </c>
      <c r="B9" s="21"/>
      <c r="C9" s="21"/>
      <c r="D9" s="21"/>
      <c r="E9" s="21"/>
    </row>
    <row r="10" customFormat="false" ht="15" hidden="false" customHeight="true" outlineLevel="0" collapsed="false">
      <c r="A10" s="22" t="s">
        <v>26</v>
      </c>
      <c r="B10" s="22" t="s">
        <v>27</v>
      </c>
      <c r="C10" s="22" t="s">
        <v>28</v>
      </c>
      <c r="D10" s="22" t="s">
        <v>29</v>
      </c>
      <c r="E10" s="22"/>
    </row>
    <row r="11" customFormat="false" ht="15" hidden="false" customHeight="true" outlineLevel="0" collapsed="false">
      <c r="A11" s="60" t="s">
        <v>198</v>
      </c>
      <c r="B11" s="61" t="n">
        <f aca="false">Cajas!C10</f>
        <v>872837.88</v>
      </c>
      <c r="C11" s="34" t="s">
        <v>199</v>
      </c>
      <c r="D11" s="35"/>
      <c r="E11" s="35"/>
    </row>
    <row r="12" customFormat="false" ht="27.75" hidden="false" customHeight="true" outlineLevel="0" collapsed="false">
      <c r="A12" s="60" t="s">
        <v>200</v>
      </c>
      <c r="B12" s="61" t="n">
        <f aca="false">Cajas!C25</f>
        <v>3340607.6</v>
      </c>
      <c r="C12" s="34" t="s">
        <v>201</v>
      </c>
      <c r="D12" s="53" t="s">
        <v>202</v>
      </c>
      <c r="E12" s="53"/>
    </row>
    <row r="14" customFormat="false" ht="15" hidden="false" customHeight="true" outlineLevel="0" collapsed="false">
      <c r="A14" s="21" t="s">
        <v>203</v>
      </c>
      <c r="B14" s="21"/>
      <c r="C14" s="21"/>
      <c r="D14" s="21"/>
      <c r="E14" s="21"/>
    </row>
    <row r="15" customFormat="false" ht="15" hidden="false" customHeight="true" outlineLevel="0" collapsed="false">
      <c r="A15" s="22" t="s">
        <v>204</v>
      </c>
      <c r="B15" s="22" t="s">
        <v>205</v>
      </c>
      <c r="C15" s="62" t="s">
        <v>206</v>
      </c>
      <c r="D15" s="63" t="s">
        <v>207</v>
      </c>
      <c r="E15" s="22" t="s">
        <v>208</v>
      </c>
    </row>
    <row r="16" customFormat="false" ht="15" hidden="false" customHeight="true" outlineLevel="0" collapsed="false">
      <c r="A16" s="60" t="s">
        <v>209</v>
      </c>
      <c r="B16" s="33" t="n">
        <f aca="false">$B$11*(1+$B$6)^5</f>
        <v>1224200.27921452</v>
      </c>
      <c r="C16" s="64" t="n">
        <f aca="false">$B$11*(1+$B$7)^5</f>
        <v>1367792.42987986</v>
      </c>
      <c r="D16" s="65" t="n">
        <f aca="false">$B$12*(1+$B$6)^5</f>
        <v>4685374.97096958</v>
      </c>
      <c r="E16" s="33" t="n">
        <f aca="false">$B$12*(1+$B$7)^5</f>
        <v>5234944.41657267</v>
      </c>
    </row>
    <row r="17" customFormat="false" ht="15" hidden="false" customHeight="true" outlineLevel="0" collapsed="false">
      <c r="A17" s="60" t="s">
        <v>210</v>
      </c>
      <c r="B17" s="33" t="n">
        <f aca="false">$B$11*(1+$B$6)^10</f>
        <v>1717004.22033575</v>
      </c>
      <c r="C17" s="64" t="n">
        <f aca="false">$B$11*(1+$B$7)^10</f>
        <v>2143417.6656456</v>
      </c>
      <c r="D17" s="65" t="n">
        <f aca="false">$B$12*(1+$B$6)^10</f>
        <v>6571480.77451184</v>
      </c>
      <c r="E17" s="33" t="n">
        <f aca="false">$B$12*(1+$B$7)^10</f>
        <v>8203490.59991523</v>
      </c>
    </row>
    <row r="18" customFormat="false" ht="15" hidden="false" customHeight="true" outlineLevel="0" collapsed="false">
      <c r="A18" s="60" t="s">
        <v>211</v>
      </c>
      <c r="B18" s="33" t="n">
        <f aca="false">$B$11*(1+$B$6)^15</f>
        <v>2408187.24085111</v>
      </c>
      <c r="C18" s="64" t="n">
        <f aca="false">$B$11*(1+$B$7)^15</f>
        <v>3358871.70380461</v>
      </c>
      <c r="D18" s="65" t="n">
        <f aca="false">$B$12*(1+$B$6)^15</f>
        <v>9216841.73355336</v>
      </c>
      <c r="E18" s="33" t="n">
        <f aca="false">$B$12*(1+$B$7)^15</f>
        <v>12855391.1307729</v>
      </c>
    </row>
    <row r="20" customFormat="false" ht="15" hidden="false" customHeight="true" outlineLevel="0" collapsed="false">
      <c r="A20" s="55" t="s">
        <v>212</v>
      </c>
      <c r="B20" s="55"/>
      <c r="C20" s="55"/>
      <c r="D20" s="55"/>
      <c r="E20" s="55"/>
    </row>
    <row r="21" customFormat="false" ht="15" hidden="false" customHeight="true" outlineLevel="0" collapsed="false">
      <c r="A21" s="55"/>
      <c r="B21" s="55"/>
      <c r="C21" s="55"/>
      <c r="D21" s="55"/>
      <c r="E21" s="55"/>
    </row>
  </sheetData>
  <mergeCells count="12">
    <mergeCell ref="A1:E1"/>
    <mergeCell ref="A2:E2"/>
    <mergeCell ref="A4:E4"/>
    <mergeCell ref="D5:E5"/>
    <mergeCell ref="D6:E6"/>
    <mergeCell ref="D7:E7"/>
    <mergeCell ref="A9:E9"/>
    <mergeCell ref="D10:E10"/>
    <mergeCell ref="D11:E11"/>
    <mergeCell ref="D12:E12"/>
    <mergeCell ref="A14:E14"/>
    <mergeCell ref="A20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2026-08-10T09:29:13Z</dcterms:created>
  <dc:creator>openpyxl</dc:creator>
  <dc:description/>
  <dc:language>en-US</dc:language>
  <cp:lastModifiedBy/>
  <dcterms:modified xsi:type="dcterms:W3CDTF">2026-08-13T10:32:36Z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
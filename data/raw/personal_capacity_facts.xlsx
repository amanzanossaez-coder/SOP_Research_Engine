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armando/Library/Mobile Documents/com~apple~CloudDocs/12. FINANZAS/11. SOP/SOP_Research_Engine/data/raw/"/>
    </mc:Choice>
  </mc:AlternateContent>
  <xr:revisionPtr revIDLastSave="0" documentId="13_ncr:1_{139FBB43-37FD-DE4E-B6AC-B05A32FA0A75}" xr6:coauthVersionLast="47" xr6:coauthVersionMax="47" xr10:uidLastSave="{00000000-0000-0000-0000-000000000000}"/>
  <bookViews>
    <workbookView xWindow="0" yWindow="660" windowWidth="29400" windowHeight="17260" tabRatio="500" activeTab="4" xr2:uid="{00000000-000D-0000-FFFF-FFFF00000000}"/>
  </bookViews>
  <sheets>
    <sheet name="Notas" sheetId="1" r:id="rId1"/>
    <sheet name="AMS" sheetId="2" r:id="rId2"/>
    <sheet name="AML" sheetId="3" r:id="rId3"/>
    <sheet name="Cajas" sheetId="4" r:id="rId4"/>
    <sheet name="Proyeccion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5" i="5" l="1"/>
  <c r="B40" i="3"/>
  <c r="C27" i="4"/>
  <c r="B27" i="4"/>
  <c r="C26" i="4"/>
  <c r="C28" i="4" s="1"/>
  <c r="B26" i="4"/>
  <c r="C24" i="4"/>
  <c r="B24" i="4"/>
  <c r="C23" i="4"/>
  <c r="C25" i="4" s="1"/>
  <c r="B23" i="4"/>
  <c r="C21" i="4"/>
  <c r="C22" i="4" s="1"/>
  <c r="B21" i="4"/>
  <c r="C12" i="4"/>
  <c r="B12" i="4"/>
  <c r="C11" i="4"/>
  <c r="C13" i="4" s="1"/>
  <c r="B11" i="4"/>
  <c r="C9" i="4"/>
  <c r="C10" i="4" s="1"/>
  <c r="B9" i="4"/>
  <c r="C7" i="4"/>
  <c r="B7" i="4"/>
  <c r="C6" i="4"/>
  <c r="C8" i="4" s="1"/>
  <c r="B6" i="4"/>
  <c r="B77" i="3"/>
  <c r="B71" i="3"/>
  <c r="B69" i="3"/>
  <c r="B63" i="3"/>
  <c r="B62" i="3"/>
  <c r="B57" i="3"/>
  <c r="B56" i="3"/>
  <c r="B55" i="3"/>
  <c r="B41" i="3"/>
  <c r="B32" i="3"/>
  <c r="B17" i="3"/>
  <c r="B12" i="3"/>
  <c r="B11" i="3"/>
  <c r="B7" i="3"/>
  <c r="B45" i="2"/>
  <c r="B32" i="2"/>
  <c r="B16" i="2"/>
  <c r="B13" i="2"/>
  <c r="B12" i="2"/>
  <c r="B7" i="2"/>
  <c r="H30" i="5"/>
  <c r="G30" i="5"/>
  <c r="E30" i="5"/>
  <c r="D30" i="5"/>
  <c r="B30" i="5"/>
  <c r="H29" i="5"/>
  <c r="G29" i="5"/>
  <c r="E29" i="5"/>
  <c r="D29" i="5"/>
  <c r="B29" i="5"/>
  <c r="H28" i="5"/>
  <c r="G28" i="5"/>
  <c r="E28" i="5"/>
  <c r="D28" i="5"/>
  <c r="B28" i="5"/>
  <c r="H27" i="5"/>
  <c r="G27" i="5"/>
  <c r="E27" i="5"/>
  <c r="D27" i="5"/>
  <c r="B27" i="5"/>
  <c r="H26" i="5"/>
  <c r="G26" i="5"/>
  <c r="E26" i="5"/>
  <c r="D26" i="5"/>
  <c r="B26" i="5"/>
  <c r="H25" i="5"/>
  <c r="B25" i="5"/>
  <c r="D21" i="5"/>
  <c r="C21" i="5"/>
  <c r="B21" i="5"/>
  <c r="D20" i="5"/>
  <c r="C20" i="5"/>
  <c r="B20" i="5"/>
  <c r="D19" i="5"/>
  <c r="C19" i="5"/>
  <c r="B19" i="5"/>
  <c r="B10" i="5"/>
  <c r="D25" i="5" l="1"/>
  <c r="E25" i="5" s="1"/>
  <c r="C30" i="4"/>
  <c r="D22" i="4" s="1"/>
  <c r="C15" i="4"/>
  <c r="D8" i="4" s="1"/>
  <c r="B44" i="3"/>
  <c r="B46" i="3"/>
  <c r="B33" i="3"/>
  <c r="B34" i="3"/>
  <c r="B20" i="3"/>
  <c r="B19" i="3"/>
  <c r="B18" i="3"/>
  <c r="B50" i="2"/>
  <c r="B49" i="2"/>
  <c r="B48" i="2"/>
  <c r="B47" i="2"/>
  <c r="B46" i="2"/>
  <c r="B35" i="2"/>
  <c r="B34" i="2"/>
  <c r="B33" i="2"/>
  <c r="B17" i="2"/>
  <c r="B19" i="2"/>
  <c r="B18" i="2"/>
  <c r="E19" i="5"/>
  <c r="F19" i="5"/>
  <c r="F20" i="5"/>
  <c r="F21" i="5"/>
  <c r="E21" i="5"/>
  <c r="E20" i="5"/>
  <c r="D25" i="4" l="1"/>
  <c r="D28" i="4"/>
  <c r="D30" i="4"/>
  <c r="C31" i="4"/>
  <c r="D10" i="4"/>
  <c r="D13" i="4"/>
  <c r="C16" i="4"/>
  <c r="D15" i="4"/>
  <c r="B47" i="3"/>
  <c r="B45" i="3"/>
  <c r="B48" i="3"/>
  <c r="B49" i="3"/>
  <c r="B21" i="3"/>
  <c r="B22" i="3"/>
  <c r="B20" i="2"/>
  <c r="B21" i="2"/>
</calcChain>
</file>

<file path=xl/sharedStrings.xml><?xml version="1.0" encoding="utf-8"?>
<sst xmlns="http://schemas.openxmlformats.org/spreadsheetml/2006/main" count="440" uniqueCount="234">
  <si>
    <t>PERSONAL CAPACITY FACTS — Notas de uso</t>
  </si>
  <si>
    <t>Propósito</t>
  </si>
  <si>
    <t>Insumo manual/semi-automático para el Personal Capacity Facts Gate (RE-032.3/RE-032.5) del SOP Research Engine. No sustituye al gate — alimenta el futuro adaptador que traduzca estas cifras a LocalPersonalCapacityFactsInputs.</t>
  </si>
  <si>
    <t>Código de color</t>
  </si>
  <si>
    <t>Azul</t>
  </si>
  <si>
    <t>Valor manual — actualizar cuando cambie la situación real</t>
  </si>
  <si>
    <t>Negro</t>
  </si>
  <si>
    <t>Fórmula derivada — no editar directamente</t>
  </si>
  <si>
    <t>Concepto: colchón vs. pólvora seca (suelo/techo)</t>
  </si>
  <si>
    <t>•</t>
  </si>
  <si>
    <t>Colchón: mínimo intocable, cubre necesidades básicas. Nunca se despliega.</t>
  </si>
  <si>
    <t>Pólvora seca — techo: por encima, hay efectivo ocioso que debería estar invertido (coste de oportunidad).</t>
  </si>
  <si>
    <t>Pólvora seca — suelo: munición mínima para aprovechar una oportunidad (ej. una caída de mercado) con el Dry Powder Protocol (RE-041.1). Por debajo, no hay peligro (el colchón sigue intacto) pero sí capacidad reducida de actuar cuando toca.</t>
  </si>
  <si>
    <t>Cadencia de actualización</t>
  </si>
  <si>
    <t>No es un archivo de valoración diaria (eso vive en las carteras '03. AMS...' y 'AML...'). Actualizar cuando cambien ingresos, gastos, umbrales de colchón/pólvora, deudas, o al vencer un depósito.</t>
  </si>
  <si>
    <t>Fecha de valoración de origen</t>
  </si>
  <si>
    <t>Los importes de cartera se tomaron de los ficheros Excel de seguimiento personal (hoja Resumen) tal como se compartieron el 2026-08-09. Confirmar/actualizar la fecha de corte real al revisar.</t>
  </si>
  <si>
    <t>Abiertos / pendientes de decisión</t>
  </si>
  <si>
    <t>AMS: techo de liquidez total fijado en 150.000€ (redondeo de 30.000 colchón + 125.000 pólvora óptima = 155.000€ exacto). Se asume pólvora óptima techo = 120.000€ para cuadrar el redondeo — confirmar si se prefiere mantener colchón exacto en 30.000€ o ajustar de otro modo.</t>
  </si>
  <si>
    <t>AMS: concentración de ingresos — valoración cualitativa final (adecuado / no adecuado) pendiente de confirmación explícita.</t>
  </si>
  <si>
    <t>AML: Fondo Monetario aún no operativo — se nutrirá de los depósitos a plazo al vencer (Pibank 26.08.26, Myinvestor 29.09.26). Actualizar esta hoja cuando eso ocurra.</t>
  </si>
  <si>
    <t>AML: pólvora seca actual (74.375€) está por debajo del suelo objetivo (125.000€) — déficit de 50.625€ a recargar. Confirmado por Armando el 2026-08-10, sin plan de recarga definido aún.</t>
  </si>
  <si>
    <t>Ambos: 'obligaciones fijas manejables' se deriva directamente de gasto anual vs. ingresos recurrentes — no es un input independiente.</t>
  </si>
  <si>
    <t>Ambos: servicio de deuda fijado en 'manejable' de forma permanente — sin deuda, sin previsión. Revisar solo si esto cambia.</t>
  </si>
  <si>
    <t>PERSONAL CAPACITY FACTS — AMS (patrimonio propio)</t>
  </si>
  <si>
    <t>1. LIQUIDEZ Y PÓLVORA SECA</t>
  </si>
  <si>
    <t>Concepto</t>
  </si>
  <si>
    <t>Valor</t>
  </si>
  <si>
    <t>Fuente</t>
  </si>
  <si>
    <t>Nota</t>
  </si>
  <si>
    <t>Gasto anual estimado</t>
  </si>
  <si>
    <t>Manual</t>
  </si>
  <si>
    <t>Estimación Armando</t>
  </si>
  <si>
    <t>Ingresos recurrentes anuales</t>
  </si>
  <si>
    <t>Alquileres 6.000 + dividendos ETF (JGPI) 5.000 + otros 2.000</t>
  </si>
  <si>
    <t>Gap anual (déficit)</t>
  </si>
  <si>
    <t>Fórmula</t>
  </si>
  <si>
    <t>Negativo = déficit que la cartera debe poder cubrir</t>
  </si>
  <si>
    <t>Objetivo declarado</t>
  </si>
  <si>
    <t>Cerrar el gap con ingresos pasivos recurrentes</t>
  </si>
  <si>
    <t>Confirmado 2026-08-10 -- históricamente cubierto de sobra con ingresos de consultoría (variables, no 'ciertos y conocidos', por eso excluidos de 'Ingresos recurrentes anuales'), pero el objetivo es cerrar los 7.000€/año con fuentes pasivas predecibles, no seguir dependiendo de la consultoría. Contexto, no una de las nueve categorías del gate.</t>
  </si>
  <si>
    <t>Colchón de seguridad mínimo (intocable)</t>
  </si>
  <si>
    <t>~4 años del gap anual (7.000€/año)</t>
  </si>
  <si>
    <t>Pólvora seca óptima — suelo</t>
  </si>
  <si>
    <t>Fijado por coherencia con el modelo de dos capas de AML</t>
  </si>
  <si>
    <t>Pólvora seca óptima — techo</t>
  </si>
  <si>
    <t>Ajustado para cuadrar el techo total redondeado en 150.000€ (ver nota arriba)</t>
  </si>
  <si>
    <t>Suelo de liquidez total (mínimo óptimo)</t>
  </si>
  <si>
    <t>Techo de liquidez total (máximo óptimo)</t>
  </si>
  <si>
    <t>Liquidez actual — cuenta</t>
  </si>
  <si>
    <t>Automático (cartera AMS, hoja '01. Resumen')</t>
  </si>
  <si>
    <t>VALOR LIQUIDEZ</t>
  </si>
  <si>
    <t>Liquidez actual — Fondo Monetario</t>
  </si>
  <si>
    <t>VALOR FM</t>
  </si>
  <si>
    <t>Liquidez total actual</t>
  </si>
  <si>
    <t>Pólvora seca actual</t>
  </si>
  <si>
    <t>Exceso/(Déficit) vs. suelo de liquidez</t>
  </si>
  <si>
    <t>Exceso/(Déficit) vs. techo de liquidez</t>
  </si>
  <si>
    <t>Positivo = liquidez ociosa por encima del objetivo</t>
  </si>
  <si>
    <t>Exceso/(Déficit) vs. pólvora óptima (suelo)</t>
  </si>
  <si>
    <t>Exceso/(Déficit) vs. pólvora óptima (techo)</t>
  </si>
  <si>
    <t>2. DEUDA</t>
  </si>
  <si>
    <t>Servicio de deuda manejable</t>
  </si>
  <si>
    <t>Sí (fijo)</t>
  </si>
  <si>
    <t>Manual / fijo</t>
  </si>
  <si>
    <t>Sin deuda, sin previsión de contraerla</t>
  </si>
  <si>
    <t>3. CONCENTRACIÓN DE INGRESOS</t>
  </si>
  <si>
    <t>Alquileres</t>
  </si>
  <si>
    <t>Dividendos ETF (JGPI)</t>
  </si>
  <si>
    <t>Otros</t>
  </si>
  <si>
    <t>Total ingresos recurrentes</t>
  </si>
  <si>
    <t>% Alquileres</t>
  </si>
  <si>
    <t>% Dividendos ETF</t>
  </si>
  <si>
    <t>% Otros</t>
  </si>
  <si>
    <t>Valoración cualitativa (concentración de ingresos)</t>
  </si>
  <si>
    <t>Adecuado</t>
  </si>
  <si>
    <t>Confirmado 2026-08-10 -- distribución correcta, ninguna fuente domina; dividendos ETF (38%) tienen correlación parcial con el ciclo de mercado. La preocupación real de Armando no es concentración sino cerrar el gap de 7.000€/año con ingresos pasivos -- ver 'Objetivo declarado' arriba</t>
  </si>
  <si>
    <t>4. CONCENTRACIÓN DE CARTERA</t>
  </si>
  <si>
    <t>SP500 (fondos indexados)</t>
  </si>
  <si>
    <t>Fondo Monetario</t>
  </si>
  <si>
    <t>ETF</t>
  </si>
  <si>
    <t>Pisos</t>
  </si>
  <si>
    <t>Liquidez (excluido FM)</t>
  </si>
  <si>
    <t>No confundir con 'Liquidez total actual' de la sección 1, que sí incluye el Fondo Monetario (172.330,77€) -- aquí el FM va aparte como clase de activo propia</t>
  </si>
  <si>
    <t>Total patrimonio</t>
  </si>
  <si>
    <t>% SP500</t>
  </si>
  <si>
    <t>% Fondo Monetario</t>
  </si>
  <si>
    <t>% ETF</t>
  </si>
  <si>
    <t>% Pisos</t>
  </si>
  <si>
    <t>% Liquidez (excl. FM)</t>
  </si>
  <si>
    <t>Valoración cualitativa (concentración de cartera)</t>
  </si>
  <si>
    <t>Confirmado por Armando 2026-08-10 -- 69,5% en un único índice (SP500) considerado concentración aceptable dado que es un índice diversificado de 500 compañías, no una apuesta individual</t>
  </si>
  <si>
    <t>5. RESTRICCIONES DE HORIZONTE CONOCIDO</t>
  </si>
  <si>
    <t>Depósitos a plazo</t>
  </si>
  <si>
    <t>Ninguno</t>
  </si>
  <si>
    <t>Confirmado — solo liquidez y Fondo Monetario, sin vencimientos</t>
  </si>
  <si>
    <t>Próximo evento con necesidad de liquidez conocida</t>
  </si>
  <si>
    <t>Ninguno conocido</t>
  </si>
  <si>
    <t>Confirmado 2026-08-10</t>
  </si>
  <si>
    <t>6. RESTRICCIONES FISCALES / OPERATIVAS</t>
  </si>
  <si>
    <t>Minusvalía pendiente de compensar (TEF)</t>
  </si>
  <si>
    <t>Venta 2026. Crédito fiscal favorable, no una restricción -- 4 años para compensar vía plusvalías (confirmado por Armando 2026-08-10); si no se generan plusvalías suficientes en ese plazo, el crédito caduca sin usarse</t>
  </si>
  <si>
    <t>Restricciones fiscales pendientes</t>
  </si>
  <si>
    <t>Ninguna conocida</t>
  </si>
  <si>
    <t>Confirmado 2026-08-10 -- la minusvalía de arriba es la única cuestión fiscal conocida, y es favorable, no restrictiva</t>
  </si>
  <si>
    <t>PERSONAL CAPACITY FACTS — AML (patrimonio de tus padres)</t>
  </si>
  <si>
    <t>Rango 30.000-35.000€, punto medio usado</t>
  </si>
  <si>
    <t>Pensiones públicas netas 60.000 (30.000 c/u) + dividendos netos 20.000</t>
  </si>
  <si>
    <t>Superávit anual</t>
  </si>
  <si>
    <t>Positivo = no necesitan tocar la cartera para vivir</t>
  </si>
  <si>
    <t>Nunca por debajo de esta cifra</t>
  </si>
  <si>
    <t>Confirmado: 125.000+175.000=300.000€, cuadra con la cifra original</t>
  </si>
  <si>
    <t>Automático (cartera AML, hoja '01a. Resumen AML')</t>
  </si>
  <si>
    <t>Liquidez actual — Depósito Myinvestor (2% TAE)</t>
  </si>
  <si>
    <t>Vence 29.09.26</t>
  </si>
  <si>
    <t>Liquidez actual — Depósito Pibank (2% TAE)</t>
  </si>
  <si>
    <t>Vence 26.08.26</t>
  </si>
  <si>
    <t>Aún no operativo — pendiente de nutrirse con depósitos al vencer</t>
  </si>
  <si>
    <t>Negativo = hoy tienen menos pólvora seca que el objetivo mínimo — recargar hasta cubrir este déficit</t>
  </si>
  <si>
    <t>Pensiones públicas (netas)</t>
  </si>
  <si>
    <t>30.000€ neto c/u</t>
  </si>
  <si>
    <t>Dividendos (netos)</t>
  </si>
  <si>
    <t>% Pensiones</t>
  </si>
  <si>
    <t>% Dividendos</t>
  </si>
  <si>
    <t>Fuente dominante (pensión pública) es la más estable posible; ingreso total muy por encima del gasto</t>
  </si>
  <si>
    <t>Fondos RV</t>
  </si>
  <si>
    <t>Planes de Pensiones (Papá + Mamá)</t>
  </si>
  <si>
    <t>Excluidos de liquidez/pólvora seca — ver sección 6</t>
  </si>
  <si>
    <t>Acciones (Iberdrola + BBVA + TEF)</t>
  </si>
  <si>
    <t>ETF (Aristócratas)</t>
  </si>
  <si>
    <t>Liquidez + Depósitos (excluido FM)</t>
  </si>
  <si>
    <t>No confundir con 'Liquidez total actual' de la sección 1 -- hoy coinciden porque el FM de AML aún está a 0€, pero dejarán de coincidir en cuanto el FM se nutra de los depósitos al vencer</t>
  </si>
  <si>
    <t>% Fondos RV</t>
  </si>
  <si>
    <t>% Planes de Pensiones</t>
  </si>
  <si>
    <t>% Acciones</t>
  </si>
  <si>
    <t>% Liquidez + Depósitos</t>
  </si>
  <si>
    <t>Concentración dentro de Acciones</t>
  </si>
  <si>
    <t>Iberdrola</t>
  </si>
  <si>
    <t>Automático</t>
  </si>
  <si>
    <t>BBVA</t>
  </si>
  <si>
    <t>TEF</t>
  </si>
  <si>
    <t>% Iberdrola</t>
  </si>
  <si>
    <t>% BBVA</t>
  </si>
  <si>
    <t>% TEF</t>
  </si>
  <si>
    <t>Concentración dentro de Planes de Pensiones</t>
  </si>
  <si>
    <t>Papá</t>
  </si>
  <si>
    <t>Mamá</t>
  </si>
  <si>
    <t>% Papá</t>
  </si>
  <si>
    <t>% Mamá</t>
  </si>
  <si>
    <t>Confirmado 2026-08-10 -- foco en USA/SP500 es la tesis de partida del SOP, no un riesgo a corregir. Verificado en '02. Fondos Myinvestor': Vanguard US500 87,2% + Fidelity S&amp;P500 0,4% (mismo índice, dos proveedores) + iShares Developed World 4,0%. Iberdrola 66% de la sub-cartera de Acciones mas solo 8,4% del patrimonio total, con función de renta vía dividendos, no de crecimiento</t>
  </si>
  <si>
    <t>Depósito Myinvestor — vencimiento</t>
  </si>
  <si>
    <t>29/09/2026</t>
  </si>
  <si>
    <t>Automático (cartera AML)</t>
  </si>
  <si>
    <t>60.000€, 2% TAE</t>
  </si>
  <si>
    <t xml:space="preserve">  días restantes</t>
  </si>
  <si>
    <t>Depósito Pibank — vencimiento</t>
  </si>
  <si>
    <t>26/08/2026</t>
  </si>
  <si>
    <t>85.000€, 2% TAE</t>
  </si>
  <si>
    <t>Vence en breve — primer candidato a nutrir el Fondo Monetario</t>
  </si>
  <si>
    <t>Confirmado 2026-08-10. Los vencimientos de depósitos de arriba son liquidez entrante, no una necesidad de gasto -- no cuentan aquí.</t>
  </si>
  <si>
    <t>Planes de Pensiones — excluidos permanentemente</t>
  </si>
  <si>
    <t>Legalmente ilíquidos salvo jubilación/paro larga duración/enfermedad grave. Rescate tributa como rendimiento del trabajo — sumado a las pensiones, marginal cercano al 50%. No se van a tocar: destino, herencia para Armando y su hermana. No cuentan como pólvora seca ni liquidez bajo ningún escenario operativo.</t>
  </si>
  <si>
    <t>Manual (confirmado por Armando 2026-08-10)</t>
  </si>
  <si>
    <t>Crédito fiscal favorable, no una restricción -- 4 años para compensar vía plusvalías; si no se generan plusvalías suficientes en ese plazo, el crédito caduca sin usarse</t>
  </si>
  <si>
    <t>Confirmado 2026-08-10 -- la exclusión de Planes de Pensiones y la minusvalía TEF de arriba son las únicas cuestiones fiscales conocidas; ninguna de las dos es una restricción activa</t>
  </si>
  <si>
    <t>CLASIFICACIÓN EN LAS TRES CAJAS</t>
  </si>
  <si>
    <t>Nivel 3, CONSTITUTION.md Sección 2  ·  Seguridad · Motor · Rentas Pasivas</t>
  </si>
  <si>
    <t>AMS — patrimonio propio</t>
  </si>
  <si>
    <t>Caja</t>
  </si>
  <si>
    <t>Partida</t>
  </si>
  <si>
    <t>% Total</t>
  </si>
  <si>
    <t>Origen</t>
  </si>
  <si>
    <t>Seguridad</t>
  </si>
  <si>
    <t>AMS!B41</t>
  </si>
  <si>
    <t>AMS!B44</t>
  </si>
  <si>
    <t>Subtotal Seguridad</t>
  </si>
  <si>
    <t>Motor</t>
  </si>
  <si>
    <t>AMS!B40</t>
  </si>
  <si>
    <t>Subtotal Motor</t>
  </si>
  <si>
    <t>Rentas Pasivas</t>
  </si>
  <si>
    <t>AMS!B42</t>
  </si>
  <si>
    <t>AMS!B43</t>
  </si>
  <si>
    <t>Subtotal Rentas Pasivas</t>
  </si>
  <si>
    <t>TOTAL AMS (3 cajas)</t>
  </si>
  <si>
    <t>Diferencia vs. total patrimonio (control)</t>
  </si>
  <si>
    <t>Debe ser 0€. Si no lo es, hay una partida nueva en la sección 4 sin clasificar aquí.</t>
  </si>
  <si>
    <t>AML — patrimonio de tus padres</t>
  </si>
  <si>
    <t>AML!B43</t>
  </si>
  <si>
    <t>AML!B39</t>
  </si>
  <si>
    <t>AML!B40</t>
  </si>
  <si>
    <t>Bloqueado operativamente (ilíquido salvo jubilación/paro larga duración/enfermedad grave; destino: herencia). Clasificado en Motor por composición de activo, confirmado por Armando 2026-08-13.</t>
  </si>
  <si>
    <t>AML!B41</t>
  </si>
  <si>
    <t>Función declarada de renta vía dividendos, no de crecimiento (ver AML!D58). Confirmado por Armando 2026-08-13.</t>
  </si>
  <si>
    <t>AML!B42</t>
  </si>
  <si>
    <t>TOTAL AML (3 cajas)</t>
  </si>
  <si>
    <t>Colores: Seguridad (azul) · Motor (verde) · Rentas Pasivas (naranja). % Total = peso de cada caja sobre el patrimonio total de AMS o AML respectivamente. Clasificación fijada por Armando el 2026-08-13 sobre la tabla de cajas de CONSTITUTION.md Sección 2, Nivel 3 — Seguridad: liquidez/depósitos/monetarios · Motor: fondo indexado S&amp;P 500 y otras inversiones a largo plazo · Rentas Pasivas: JGPI, inmobiliario, oro.</t>
  </si>
  <si>
    <t>PROYECCIÓN CAJA MOTOR — HIPÓTESIS BASE v1</t>
  </si>
  <si>
    <t>Ilustrativa, no un objetivo. X/Y/Z por necesidad patrimonial: CONSTITUTION.md Sección 6, Pendiente.</t>
  </si>
  <si>
    <t>Fecha y saldo de referencia  ·  CONGELADOS — no enlazados por fórmula</t>
  </si>
  <si>
    <t>Fecha de referencia</t>
  </si>
  <si>
    <t>Provisional. Se sustituirá por el cierre a 31/12/2026 para anclar la trayectoria en año natural — al cambiar esta fecha (y los importes de abajo) toda la trayectoria esperada y el seguimiento se recalculan solos.</t>
  </si>
  <si>
    <t>AMS — Caja Motor (congelado)</t>
  </si>
  <si>
    <t>Cifra dada por Armando a la fecha de referencia (2026-08-13). No enlazada a la hoja Cajas — solo cambia con actualización explícita de este congelado.</t>
  </si>
  <si>
    <t>AML — Fondos RV (congelado)</t>
  </si>
  <si>
    <t>Cifra dada por Armando a la fecha de referencia (2026-08-13).</t>
  </si>
  <si>
    <t>AML — Planes de Pensiones (congelado)</t>
  </si>
  <si>
    <t>Bloqueados operativamente (ver hoja Cajas, fila 24). Incluidos en Motor por composición de activo, confirmado por Armando 2026-08-13.</t>
  </si>
  <si>
    <t>AML — Caja Motor (congelado, total)</t>
  </si>
  <si>
    <t>Suma de las dos filas anteriores. Sigue siendo un congelado: solo se mueve si cambian esas dos celdas manualmente.</t>
  </si>
  <si>
    <t>Hipótesis de rentabilidad  ·  CONSTITUTION.md Sección 2</t>
  </si>
  <si>
    <t>Rentabilidad real anualizada</t>
  </si>
  <si>
    <t>Hipótesis base v1 — CONSTITUTION.md Sección 2. Serie total return real de Shiller (data/raw/shiller.xlsx), dividendos reinvertidos, CAGR de la serie completa. No se ajusta automáticamente por CAPE ni por el Research Engine — editar solo tras actualización explícita de la Constitución.</t>
  </si>
  <si>
    <t>Rentabilidad nominal anualizada (aprox.)</t>
  </si>
  <si>
    <t>Derivada de la rentabilidad real + inflación media histórica de la serie Shiller (~2,15%/año). Misma gobernanza que la fila anterior.</t>
  </si>
  <si>
    <t>Trayectoria esperada — Caja Motor, desde el congelado</t>
  </si>
  <si>
    <t>Horizonte</t>
  </si>
  <si>
    <t>Fecha objetivo</t>
  </si>
  <si>
    <t>AMS Real</t>
  </si>
  <si>
    <t>AMS Nominal</t>
  </si>
  <si>
    <t>AML Real</t>
  </si>
  <si>
    <t>AML Nominal</t>
  </si>
  <si>
    <t>5 años</t>
  </si>
  <si>
    <t>10 años</t>
  </si>
  <si>
    <t>15 años</t>
  </si>
  <si>
    <t>Seguimiento — saldo real vs. trayectoria esperada (nominal)</t>
  </si>
  <si>
    <t>Fecha de control</t>
  </si>
  <si>
    <t>Años</t>
  </si>
  <si>
    <t>AMS Actual</t>
  </si>
  <si>
    <t>AMS Esperado</t>
  </si>
  <si>
    <t>AMS Δ</t>
  </si>
  <si>
    <t>AML Actual</t>
  </si>
  <si>
    <t>AML Esperado</t>
  </si>
  <si>
    <t>AML Δ</t>
  </si>
  <si>
    <t>Celdas azules/amarillas = escribe tú (Fecha de control, AMS Actual, AML Actual). El resto son fórmulas. 'Esperado' compara contra la trayectoria nominal (euros corrientes), igual que el saldo observado — no está ajustado por inflación. Δ positivo = vas por delante de la trayectoria; negativo = por detrás. Esto compara contra la hipótesis base, no contra un objetivo X/Y/Z (todavía sin definir).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</si>
</sst>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\€;\(#,##0&quot;€)&quot;"/>
    <numFmt numFmtId="165" formatCode="0.0%"/>
    <numFmt numFmtId="166" formatCode="dd/mm/yyyy"/>
  </numFmts>
  <fonts count="17" x14ac:knownFonts="1">
    <font>
      <sz val="11"/>
      <color theme="1"/>
      <name val="Calibri"/>
      <family val="2"/>
      <charset val="1"/>
    </font>
    <font>
      <b/>
      <sz val="13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i/>
      <sz val="9"/>
      <color rgb="FF666666"/>
      <name val="Arial"/>
      <family val="2"/>
      <charset val="1"/>
    </font>
    <font>
      <sz val="10"/>
      <name val="Arial"/>
      <family val="2"/>
      <charset val="1"/>
    </font>
    <font>
      <b/>
      <sz val="13"/>
      <color rgb="FF1F1F1F"/>
      <name val="Arial"/>
      <family val="2"/>
      <charset val="1"/>
    </font>
    <font>
      <i/>
      <sz val="9"/>
      <color rgb="FF808080"/>
      <name val="Arial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1F1F1F"/>
      <name val="Arial"/>
      <family val="2"/>
      <charset val="1"/>
    </font>
    <font>
      <sz val="10"/>
      <color rgb="FF1F1F1F"/>
      <name val="Arial"/>
      <family val="2"/>
      <charset val="1"/>
    </font>
    <font>
      <sz val="8.5"/>
      <color rgb="FF9E9E9E"/>
      <name val="Arial"/>
      <family val="2"/>
      <charset val="1"/>
    </font>
    <font>
      <b/>
      <sz val="10.5"/>
      <color rgb="FFFFFFFF"/>
      <name val="Arial"/>
      <family val="2"/>
      <charset val="1"/>
    </font>
    <font>
      <i/>
      <sz val="8.5"/>
      <color rgb="FF7F7F7F"/>
      <name val="Arial"/>
      <family val="2"/>
      <charset val="1"/>
    </font>
    <font>
      <b/>
      <sz val="10"/>
      <color rgb="FF1155CC"/>
      <name val="Arial"/>
      <family val="2"/>
      <charset val="1"/>
    </font>
    <font>
      <b/>
      <sz val="10.5"/>
      <color rgb="FF1F1F1F"/>
      <name val="Arial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D9E1F2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FE699"/>
        <bgColor rgb="FFFFF2CC"/>
      </patternFill>
    </fill>
    <fill>
      <patternFill patternType="solid">
        <fgColor rgb="FF2E5395"/>
        <bgColor rgb="FF1155CC"/>
      </patternFill>
    </fill>
    <fill>
      <patternFill patternType="solid">
        <fgColor rgb="FFDDEBF7"/>
        <bgColor rgb="FFD9E1F2"/>
      </patternFill>
    </fill>
    <fill>
      <patternFill patternType="solid">
        <fgColor rgb="FFBDD7EE"/>
        <bgColor rgb="FFD9D9D9"/>
      </patternFill>
    </fill>
    <fill>
      <patternFill patternType="solid">
        <fgColor rgb="FFE2EFDA"/>
        <bgColor rgb="FFDDEBF7"/>
      </patternFill>
    </fill>
    <fill>
      <patternFill patternType="solid">
        <fgColor rgb="FFA9D18E"/>
        <bgColor rgb="FFBDD7EE"/>
      </patternFill>
    </fill>
    <fill>
      <patternFill patternType="solid">
        <fgColor rgb="FFFCE4D6"/>
        <bgColor rgb="FFFFF2CC"/>
      </patternFill>
    </fill>
    <fill>
      <patternFill patternType="solid">
        <fgColor rgb="FFF4B183"/>
        <bgColor rgb="FFFF8080"/>
      </patternFill>
    </fill>
    <fill>
      <patternFill patternType="solid">
        <fgColor rgb="FF404040"/>
        <bgColor rgb="FF595959"/>
      </patternFill>
    </fill>
    <fill>
      <patternFill patternType="solid">
        <fgColor rgb="FFFFF2CC"/>
        <bgColor rgb="FFFCE4D6"/>
      </patternFill>
    </fill>
  </fills>
  <borders count="7">
    <border>
      <left/>
      <right/>
      <top/>
      <bottom/>
      <diagonal/>
    </border>
    <border>
      <left/>
      <right/>
      <top/>
      <bottom style="medium">
        <color rgb="FF80808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medium">
        <color rgb="FF595959"/>
      </right>
      <top/>
      <bottom style="medium">
        <color rgb="FF808080"/>
      </bottom>
      <diagonal/>
    </border>
    <border>
      <left style="medium">
        <color rgb="FF595959"/>
      </left>
      <right/>
      <top/>
      <bottom style="medium">
        <color rgb="FF808080"/>
      </bottom>
      <diagonal/>
    </border>
    <border>
      <left style="thin">
        <color rgb="FFD9D9D9"/>
      </left>
      <right style="medium">
        <color rgb="FF595959"/>
      </right>
      <top style="thin">
        <color rgb="FFD9D9D9"/>
      </top>
      <bottom style="thin">
        <color rgb="FFD9D9D9"/>
      </bottom>
      <diagonal/>
    </border>
    <border>
      <left style="medium">
        <color rgb="FF59595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0" fillId="8" borderId="2" xfId="0" applyFont="1" applyFill="1" applyBorder="1" applyAlignment="1">
      <alignment horizontal="center" vertical="center" wrapText="1"/>
    </xf>
    <xf numFmtId="0" fontId="10" fillId="6" borderId="2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 vertical="center" wrapText="1"/>
    </xf>
    <xf numFmtId="0" fontId="10" fillId="3" borderId="1" xfId="0" applyFont="1" applyFill="1" applyBorder="1" applyAlignment="1">
      <alignment vertical="center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0" fontId="0" fillId="2" borderId="0" xfId="0" applyFill="1"/>
    <xf numFmtId="0" fontId="2" fillId="3" borderId="0" xfId="0" applyFont="1" applyFill="1" applyAlignment="1">
      <alignment wrapText="1"/>
    </xf>
    <xf numFmtId="164" fontId="4" fillId="0" borderId="0" xfId="0" applyNumberFormat="1" applyFont="1" applyAlignment="1">
      <alignment wrapText="1"/>
    </xf>
    <xf numFmtId="0" fontId="5" fillId="0" borderId="0" xfId="0" applyFont="1" applyAlignment="1">
      <alignment wrapText="1"/>
    </xf>
    <xf numFmtId="164" fontId="3" fillId="0" borderId="0" xfId="0" applyNumberFormat="1" applyFont="1" applyAlignment="1">
      <alignment wrapText="1"/>
    </xf>
    <xf numFmtId="0" fontId="5" fillId="0" borderId="0" xfId="0" applyFont="1"/>
    <xf numFmtId="165" fontId="3" fillId="0" borderId="0" xfId="0" applyNumberFormat="1" applyFont="1" applyAlignment="1">
      <alignment wrapText="1"/>
    </xf>
    <xf numFmtId="0" fontId="2" fillId="4" borderId="0" xfId="0" applyFont="1" applyFill="1" applyAlignment="1">
      <alignment wrapText="1"/>
    </xf>
    <xf numFmtId="164" fontId="2" fillId="4" borderId="0" xfId="0" applyNumberFormat="1" applyFont="1" applyFill="1" applyAlignment="1">
      <alignment wrapText="1"/>
    </xf>
    <xf numFmtId="0" fontId="5" fillId="4" borderId="0" xfId="0" applyFont="1" applyFill="1" applyAlignment="1">
      <alignment wrapText="1"/>
    </xf>
    <xf numFmtId="0" fontId="5" fillId="4" borderId="0" xfId="0" applyFont="1" applyFill="1"/>
    <xf numFmtId="164" fontId="6" fillId="0" borderId="0" xfId="0" applyNumberFormat="1" applyFont="1" applyAlignment="1">
      <alignment wrapText="1"/>
    </xf>
    <xf numFmtId="1" fontId="3" fillId="0" borderId="0" xfId="0" applyNumberFormat="1" applyFont="1" applyAlignment="1">
      <alignment wrapText="1"/>
    </xf>
    <xf numFmtId="0" fontId="0" fillId="0" borderId="0" xfId="0" applyAlignment="1">
      <alignment vertical="center"/>
    </xf>
    <xf numFmtId="0" fontId="11" fillId="6" borderId="2" xfId="0" applyFont="1" applyFill="1" applyBorder="1" applyAlignment="1">
      <alignment vertical="center"/>
    </xf>
    <xf numFmtId="164" fontId="11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 applyAlignment="1">
      <alignment vertical="center"/>
    </xf>
    <xf numFmtId="0" fontId="12" fillId="6" borderId="2" xfId="0" applyFont="1" applyFill="1" applyBorder="1" applyAlignment="1">
      <alignment vertical="center"/>
    </xf>
    <xf numFmtId="0" fontId="0" fillId="7" borderId="2" xfId="0" applyFill="1" applyBorder="1" applyAlignment="1">
      <alignment vertical="center"/>
    </xf>
    <xf numFmtId="0" fontId="10" fillId="7" borderId="2" xfId="0" applyFont="1" applyFill="1" applyBorder="1" applyAlignment="1">
      <alignment vertical="center"/>
    </xf>
    <xf numFmtId="164" fontId="10" fillId="7" borderId="2" xfId="0" applyNumberFormat="1" applyFont="1" applyFill="1" applyBorder="1" applyAlignment="1">
      <alignment horizontal="right" vertical="center"/>
    </xf>
    <xf numFmtId="165" fontId="10" fillId="7" borderId="2" xfId="0" applyNumberFormat="1" applyFont="1" applyFill="1" applyBorder="1" applyAlignment="1">
      <alignment horizontal="right" vertical="center"/>
    </xf>
    <xf numFmtId="0" fontId="11" fillId="8" borderId="2" xfId="0" applyFont="1" applyFill="1" applyBorder="1" applyAlignment="1">
      <alignment vertical="center"/>
    </xf>
    <xf numFmtId="164" fontId="11" fillId="8" borderId="2" xfId="0" applyNumberFormat="1" applyFont="1" applyFill="1" applyBorder="1" applyAlignment="1">
      <alignment horizontal="right" vertical="center"/>
    </xf>
    <xf numFmtId="0" fontId="0" fillId="8" borderId="2" xfId="0" applyFill="1" applyBorder="1" applyAlignment="1">
      <alignment vertical="center"/>
    </xf>
    <xf numFmtId="0" fontId="12" fillId="8" borderId="2" xfId="0" applyFont="1" applyFill="1" applyBorder="1" applyAlignment="1">
      <alignment vertical="center"/>
    </xf>
    <xf numFmtId="0" fontId="0" fillId="9" borderId="2" xfId="0" applyFill="1" applyBorder="1" applyAlignment="1">
      <alignment vertical="center"/>
    </xf>
    <xf numFmtId="0" fontId="10" fillId="9" borderId="2" xfId="0" applyFont="1" applyFill="1" applyBorder="1" applyAlignment="1">
      <alignment vertical="center"/>
    </xf>
    <xf numFmtId="164" fontId="10" fillId="9" borderId="2" xfId="0" applyNumberFormat="1" applyFont="1" applyFill="1" applyBorder="1" applyAlignment="1">
      <alignment horizontal="right" vertical="center"/>
    </xf>
    <xf numFmtId="165" fontId="10" fillId="9" borderId="2" xfId="0" applyNumberFormat="1" applyFont="1" applyFill="1" applyBorder="1" applyAlignment="1">
      <alignment horizontal="right" vertical="center"/>
    </xf>
    <xf numFmtId="0" fontId="11" fillId="10" borderId="2" xfId="0" applyFont="1" applyFill="1" applyBorder="1" applyAlignment="1">
      <alignment vertical="center"/>
    </xf>
    <xf numFmtId="164" fontId="11" fillId="10" borderId="2" xfId="0" applyNumberFormat="1" applyFont="1" applyFill="1" applyBorder="1" applyAlignment="1">
      <alignment horizontal="right" vertical="center"/>
    </xf>
    <xf numFmtId="0" fontId="0" fillId="10" borderId="2" xfId="0" applyFill="1" applyBorder="1" applyAlignment="1">
      <alignment vertical="center"/>
    </xf>
    <xf numFmtId="0" fontId="12" fillId="10" borderId="2" xfId="0" applyFont="1" applyFill="1" applyBorder="1" applyAlignment="1">
      <alignment vertical="center"/>
    </xf>
    <xf numFmtId="0" fontId="0" fillId="11" borderId="2" xfId="0" applyFill="1" applyBorder="1" applyAlignment="1">
      <alignment vertical="center"/>
    </xf>
    <xf numFmtId="0" fontId="10" fillId="11" borderId="2" xfId="0" applyFont="1" applyFill="1" applyBorder="1" applyAlignment="1">
      <alignment vertical="center"/>
    </xf>
    <xf numFmtId="164" fontId="10" fillId="11" borderId="2" xfId="0" applyNumberFormat="1" applyFont="1" applyFill="1" applyBorder="1" applyAlignment="1">
      <alignment horizontal="right" vertical="center"/>
    </xf>
    <xf numFmtId="165" fontId="10" fillId="11" borderId="2" xfId="0" applyNumberFormat="1" applyFont="1" applyFill="1" applyBorder="1" applyAlignment="1">
      <alignment horizontal="right" vertical="center"/>
    </xf>
    <xf numFmtId="164" fontId="13" fillId="12" borderId="0" xfId="0" applyNumberFormat="1" applyFont="1" applyFill="1" applyAlignment="1">
      <alignment horizontal="right" vertical="center"/>
    </xf>
    <xf numFmtId="165" fontId="13" fillId="12" borderId="0" xfId="0" applyNumberFormat="1" applyFont="1" applyFill="1" applyAlignment="1">
      <alignment horizontal="right" vertical="center"/>
    </xf>
    <xf numFmtId="0" fontId="0" fillId="12" borderId="2" xfId="0" applyFill="1" applyBorder="1" applyAlignment="1">
      <alignment vertical="center"/>
    </xf>
    <xf numFmtId="0" fontId="14" fillId="0" borderId="0" xfId="0" applyFont="1" applyAlignment="1">
      <alignment vertical="center"/>
    </xf>
    <xf numFmtId="164" fontId="14" fillId="0" borderId="0" xfId="0" applyNumberFormat="1" applyFont="1" applyAlignment="1">
      <alignment horizontal="right" vertical="center"/>
    </xf>
    <xf numFmtId="0" fontId="14" fillId="8" borderId="2" xfId="0" applyFont="1" applyFill="1" applyBorder="1" applyAlignment="1">
      <alignment horizontal="left" vertical="center" wrapText="1"/>
    </xf>
    <xf numFmtId="0" fontId="14" fillId="10" borderId="2" xfId="0" applyFont="1" applyFill="1" applyBorder="1" applyAlignment="1">
      <alignment horizontal="left" vertical="center" wrapText="1"/>
    </xf>
    <xf numFmtId="0" fontId="11" fillId="0" borderId="2" xfId="0" applyFont="1" applyBorder="1" applyAlignment="1">
      <alignment vertical="center"/>
    </xf>
    <xf numFmtId="166" fontId="15" fillId="13" borderId="2" xfId="0" applyNumberFormat="1" applyFont="1" applyFill="1" applyBorder="1" applyAlignment="1">
      <alignment horizontal="right" vertical="center"/>
    </xf>
    <xf numFmtId="0" fontId="12" fillId="0" borderId="2" xfId="0" applyFont="1" applyBorder="1" applyAlignment="1">
      <alignment vertical="center"/>
    </xf>
    <xf numFmtId="164" fontId="15" fillId="13" borderId="2" xfId="0" applyNumberFormat="1" applyFont="1" applyFill="1" applyBorder="1" applyAlignment="1">
      <alignment horizontal="right" vertical="center"/>
    </xf>
    <xf numFmtId="0" fontId="10" fillId="0" borderId="2" xfId="0" applyFont="1" applyBorder="1" applyAlignment="1">
      <alignment vertical="center"/>
    </xf>
    <xf numFmtId="164" fontId="16" fillId="8" borderId="2" xfId="0" applyNumberFormat="1" applyFont="1" applyFill="1" applyBorder="1" applyAlignment="1">
      <alignment horizontal="right" vertical="center"/>
    </xf>
    <xf numFmtId="165" fontId="15" fillId="13" borderId="2" xfId="0" applyNumberFormat="1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0" fontId="10" fillId="8" borderId="2" xfId="0" applyFont="1" applyFill="1" applyBorder="1" applyAlignment="1">
      <alignment vertical="center"/>
    </xf>
    <xf numFmtId="166" fontId="0" fillId="8" borderId="2" xfId="0" applyNumberFormat="1" applyFill="1" applyBorder="1" applyAlignment="1">
      <alignment horizontal="right" vertical="center"/>
    </xf>
    <xf numFmtId="164" fontId="11" fillId="8" borderId="5" xfId="0" applyNumberFormat="1" applyFont="1" applyFill="1" applyBorder="1" applyAlignment="1">
      <alignment horizontal="right" vertical="center"/>
    </xf>
    <xf numFmtId="164" fontId="11" fillId="8" borderId="6" xfId="0" applyNumberFormat="1" applyFont="1" applyFill="1" applyBorder="1" applyAlignment="1">
      <alignment horizontal="right" vertical="center"/>
    </xf>
    <xf numFmtId="166" fontId="15" fillId="13" borderId="2" xfId="0" applyNumberFormat="1" applyFont="1" applyFill="1" applyBorder="1" applyAlignment="1">
      <alignment vertical="center"/>
    </xf>
    <xf numFmtId="2" fontId="11" fillId="0" borderId="2" xfId="0" applyNumberFormat="1" applyFont="1" applyBorder="1" applyAlignment="1">
      <alignment vertical="center"/>
    </xf>
    <xf numFmtId="164" fontId="11" fillId="0" borderId="2" xfId="0" applyNumberFormat="1" applyFont="1" applyBorder="1" applyAlignment="1">
      <alignment horizontal="right" vertical="center"/>
    </xf>
    <xf numFmtId="164" fontId="16" fillId="0" borderId="5" xfId="0" applyNumberFormat="1" applyFont="1" applyBorder="1" applyAlignment="1">
      <alignment horizontal="right" vertical="center"/>
    </xf>
    <xf numFmtId="164" fontId="15" fillId="13" borderId="6" xfId="0" applyNumberFormat="1" applyFont="1" applyFill="1" applyBorder="1" applyAlignment="1">
      <alignment horizontal="right" vertical="center"/>
    </xf>
    <xf numFmtId="164" fontId="16" fillId="0" borderId="2" xfId="0" applyNumberFormat="1" applyFont="1" applyBorder="1" applyAlignment="1">
      <alignment horizontal="right" vertical="center"/>
    </xf>
    <xf numFmtId="0" fontId="14" fillId="0" borderId="0" xfId="0" applyFont="1" applyAlignment="1">
      <alignment horizontal="left" vertical="center" wrapText="1"/>
    </xf>
    <xf numFmtId="0" fontId="10" fillId="3" borderId="1" xfId="0" applyFont="1" applyFill="1" applyBorder="1" applyAlignment="1">
      <alignment vertical="center"/>
    </xf>
    <xf numFmtId="0" fontId="14" fillId="0" borderId="2" xfId="0" applyFont="1" applyBorder="1" applyAlignment="1">
      <alignment horizontal="left" vertical="center" wrapText="1"/>
    </xf>
    <xf numFmtId="0" fontId="9" fillId="5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13" fillId="12" borderId="0" xfId="0" applyFont="1" applyFill="1" applyAlignment="1">
      <alignment horizontal="right" vertical="center"/>
    </xf>
    <xf numFmtId="0" fontId="10" fillId="8" borderId="2" xfId="0" applyFont="1" applyFill="1" applyBorder="1" applyAlignment="1">
      <alignment horizontal="center" vertical="center" wrapText="1"/>
    </xf>
    <xf numFmtId="0" fontId="10" fillId="10" borderId="2" xfId="0" applyFont="1" applyFill="1" applyBorder="1" applyAlignment="1">
      <alignment horizontal="center" vertical="center" wrapText="1"/>
    </xf>
    <xf numFmtId="0" fontId="10" fillId="6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7F7F"/>
      <rgbColor rgb="FF800080"/>
      <rgbColor rgb="FF008080"/>
      <rgbColor rgb="FFA9D18E"/>
      <rgbColor rgb="FF808080"/>
      <rgbColor rgb="FF9999FF"/>
      <rgbColor rgb="FF595959"/>
      <rgbColor rgb="FFFFF2CC"/>
      <rgbColor rgb="FFDDEBF7"/>
      <rgbColor rgb="FF660066"/>
      <rgbColor rgb="FFFF8080"/>
      <rgbColor rgb="FF1155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E699"/>
      <rgbColor rgb="FFD9D9D9"/>
      <rgbColor rgb="FFFCE4D6"/>
      <rgbColor rgb="FFD9E1F2"/>
      <rgbColor rgb="FFF4B183"/>
      <rgbColor rgb="FF3366FF"/>
      <rgbColor rgb="FF33CCCC"/>
      <rgbColor rgb="FF99CC00"/>
      <rgbColor rgb="FFFFCC00"/>
      <rgbColor rgb="FFFF9900"/>
      <rgbColor rgb="FFFF6600"/>
      <rgbColor rgb="FF666666"/>
      <rgbColor rgb="FF9E9E9E"/>
      <rgbColor rgb="FF003366"/>
      <rgbColor rgb="FF339966"/>
      <rgbColor rgb="FF003300"/>
      <rgbColor rgb="FF1F1F1F"/>
      <rgbColor rgb="FF993300"/>
      <rgbColor rgb="FF993366"/>
      <rgbColor rgb="FF2E5395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4"/>
  <sheetViews>
    <sheetView zoomScaleNormal="100" workbookViewId="0"/>
  </sheetViews>
  <sheetFormatPr baseColWidth="10" defaultColWidth="8.6640625" defaultRowHeight="15" x14ac:dyDescent="0.2"/>
  <cols>
    <col min="1" max="1" width="38" customWidth="1"/>
    <col min="2" max="2" width="70" customWidth="1"/>
  </cols>
  <sheetData>
    <row r="1" spans="1:2" ht="15.75" customHeight="1" x14ac:dyDescent="0.2">
      <c r="A1" s="5" t="s">
        <v>0</v>
      </c>
    </row>
    <row r="3" spans="1:2" ht="15" customHeight="1" x14ac:dyDescent="0.2">
      <c r="A3" s="6" t="s">
        <v>1</v>
      </c>
      <c r="B3" s="7" t="s">
        <v>2</v>
      </c>
    </row>
    <row r="5" spans="1:2" ht="15" customHeight="1" x14ac:dyDescent="0.2">
      <c r="A5" s="6" t="s">
        <v>3</v>
      </c>
    </row>
    <row r="6" spans="1:2" ht="15" customHeight="1" x14ac:dyDescent="0.2">
      <c r="A6" s="8" t="s">
        <v>4</v>
      </c>
      <c r="B6" s="7" t="s">
        <v>5</v>
      </c>
    </row>
    <row r="7" spans="1:2" ht="15" customHeight="1" x14ac:dyDescent="0.2">
      <c r="A7" s="7" t="s">
        <v>6</v>
      </c>
      <c r="B7" s="7" t="s">
        <v>7</v>
      </c>
    </row>
    <row r="9" spans="1:2" ht="15" customHeight="1" x14ac:dyDescent="0.2">
      <c r="A9" s="6" t="s">
        <v>8</v>
      </c>
    </row>
    <row r="10" spans="1:2" ht="15" customHeight="1" x14ac:dyDescent="0.2">
      <c r="A10" s="7" t="s">
        <v>9</v>
      </c>
      <c r="B10" s="7" t="s">
        <v>10</v>
      </c>
    </row>
    <row r="11" spans="1:2" ht="15" customHeight="1" x14ac:dyDescent="0.2">
      <c r="A11" s="7" t="s">
        <v>9</v>
      </c>
      <c r="B11" s="7" t="s">
        <v>11</v>
      </c>
    </row>
    <row r="12" spans="1:2" ht="15" customHeight="1" x14ac:dyDescent="0.2">
      <c r="A12" s="7" t="s">
        <v>9</v>
      </c>
      <c r="B12" s="7" t="s">
        <v>12</v>
      </c>
    </row>
    <row r="14" spans="1:2" ht="15" customHeight="1" x14ac:dyDescent="0.2">
      <c r="A14" s="6" t="s">
        <v>13</v>
      </c>
      <c r="B14" s="7" t="s">
        <v>14</v>
      </c>
    </row>
    <row r="16" spans="1:2" ht="15" customHeight="1" x14ac:dyDescent="0.2">
      <c r="A16" s="6" t="s">
        <v>15</v>
      </c>
      <c r="B16" s="7" t="s">
        <v>16</v>
      </c>
    </row>
    <row r="18" spans="1:2" ht="15" customHeight="1" x14ac:dyDescent="0.2">
      <c r="A18" s="6" t="s">
        <v>17</v>
      </c>
    </row>
    <row r="19" spans="1:2" ht="30" customHeight="1" x14ac:dyDescent="0.2">
      <c r="A19" s="7" t="s">
        <v>9</v>
      </c>
      <c r="B19" s="7" t="s">
        <v>18</v>
      </c>
    </row>
    <row r="20" spans="1:2" ht="30" customHeight="1" x14ac:dyDescent="0.2">
      <c r="A20" s="7" t="s">
        <v>9</v>
      </c>
      <c r="B20" s="7" t="s">
        <v>19</v>
      </c>
    </row>
    <row r="21" spans="1:2" ht="30" customHeight="1" x14ac:dyDescent="0.2">
      <c r="A21" s="7" t="s">
        <v>9</v>
      </c>
      <c r="B21" s="7" t="s">
        <v>20</v>
      </c>
    </row>
    <row r="22" spans="1:2" ht="30" customHeight="1" x14ac:dyDescent="0.2">
      <c r="A22" s="7" t="s">
        <v>9</v>
      </c>
      <c r="B22" s="7" t="s">
        <v>21</v>
      </c>
    </row>
    <row r="23" spans="1:2" ht="30" customHeight="1" x14ac:dyDescent="0.2">
      <c r="A23" s="7" t="s">
        <v>9</v>
      </c>
      <c r="B23" s="7" t="s">
        <v>22</v>
      </c>
    </row>
    <row r="24" spans="1:2" ht="30" customHeight="1" x14ac:dyDescent="0.2">
      <c r="A24" s="7" t="s">
        <v>9</v>
      </c>
      <c r="B24" s="7" t="s">
        <v>23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1"/>
  <sheetViews>
    <sheetView topLeftCell="A14" zoomScaleNormal="100" workbookViewId="0">
      <selection activeCell="B41" sqref="B41"/>
    </sheetView>
  </sheetViews>
  <sheetFormatPr baseColWidth="10" defaultColWidth="8.6640625" defaultRowHeight="15" x14ac:dyDescent="0.2"/>
  <cols>
    <col min="1" max="1" width="40" customWidth="1"/>
    <col min="2" max="2" width="16" customWidth="1"/>
    <col min="3" max="3" width="26" customWidth="1"/>
    <col min="4" max="4" width="46" customWidth="1"/>
  </cols>
  <sheetData>
    <row r="1" spans="1:4" ht="15.75" customHeight="1" x14ac:dyDescent="0.2">
      <c r="A1" s="5" t="s">
        <v>24</v>
      </c>
    </row>
    <row r="3" spans="1:4" ht="15" customHeight="1" x14ac:dyDescent="0.2">
      <c r="A3" s="9" t="s">
        <v>25</v>
      </c>
      <c r="B3" s="10"/>
      <c r="C3" s="10"/>
      <c r="D3" s="10"/>
    </row>
    <row r="4" spans="1:4" ht="15" customHeight="1" x14ac:dyDescent="0.2">
      <c r="A4" s="11" t="s">
        <v>26</v>
      </c>
      <c r="B4" s="11" t="s">
        <v>27</v>
      </c>
      <c r="C4" s="11" t="s">
        <v>28</v>
      </c>
      <c r="D4" s="11" t="s">
        <v>29</v>
      </c>
    </row>
    <row r="5" spans="1:4" ht="15" customHeight="1" x14ac:dyDescent="0.2">
      <c r="A5" s="7" t="s">
        <v>30</v>
      </c>
      <c r="B5" s="12">
        <v>20000</v>
      </c>
      <c r="C5" s="13" t="s">
        <v>31</v>
      </c>
      <c r="D5" s="13" t="s">
        <v>32</v>
      </c>
    </row>
    <row r="6" spans="1:4" ht="15" customHeight="1" x14ac:dyDescent="0.2">
      <c r="A6" s="7" t="s">
        <v>33</v>
      </c>
      <c r="B6" s="12">
        <v>13000</v>
      </c>
      <c r="C6" s="13" t="s">
        <v>31</v>
      </c>
      <c r="D6" s="13" t="s">
        <v>34</v>
      </c>
    </row>
    <row r="7" spans="1:4" ht="15" customHeight="1" x14ac:dyDescent="0.2">
      <c r="A7" s="7" t="s">
        <v>35</v>
      </c>
      <c r="B7" s="14">
        <f>B6-B5</f>
        <v>-7000</v>
      </c>
      <c r="C7" s="13" t="s">
        <v>36</v>
      </c>
      <c r="D7" s="13" t="s">
        <v>37</v>
      </c>
    </row>
    <row r="8" spans="1:4" ht="15" customHeight="1" x14ac:dyDescent="0.2">
      <c r="A8" s="7" t="s">
        <v>38</v>
      </c>
      <c r="B8" s="8" t="s">
        <v>39</v>
      </c>
      <c r="C8" s="13" t="s">
        <v>31</v>
      </c>
      <c r="D8" s="13" t="s">
        <v>40</v>
      </c>
    </row>
    <row r="9" spans="1:4" ht="15" customHeight="1" x14ac:dyDescent="0.2">
      <c r="A9" s="7" t="s">
        <v>41</v>
      </c>
      <c r="B9" s="12">
        <v>30000</v>
      </c>
      <c r="C9" s="13" t="s">
        <v>31</v>
      </c>
      <c r="D9" s="13" t="s">
        <v>42</v>
      </c>
    </row>
    <row r="10" spans="1:4" ht="15" customHeight="1" x14ac:dyDescent="0.2">
      <c r="A10" s="7" t="s">
        <v>43</v>
      </c>
      <c r="B10" s="12">
        <v>70000</v>
      </c>
      <c r="C10" s="13" t="s">
        <v>31</v>
      </c>
      <c r="D10" s="13" t="s">
        <v>44</v>
      </c>
    </row>
    <row r="11" spans="1:4" ht="15" customHeight="1" x14ac:dyDescent="0.2">
      <c r="A11" s="7" t="s">
        <v>45</v>
      </c>
      <c r="B11" s="12">
        <v>120000</v>
      </c>
      <c r="C11" s="13" t="s">
        <v>31</v>
      </c>
      <c r="D11" s="13" t="s">
        <v>46</v>
      </c>
    </row>
    <row r="12" spans="1:4" ht="15" customHeight="1" x14ac:dyDescent="0.2">
      <c r="A12" s="7" t="s">
        <v>47</v>
      </c>
      <c r="B12" s="14">
        <f>B9+B10</f>
        <v>100000</v>
      </c>
      <c r="C12" s="13" t="s">
        <v>36</v>
      </c>
      <c r="D12" s="15"/>
    </row>
    <row r="13" spans="1:4" ht="15" customHeight="1" x14ac:dyDescent="0.2">
      <c r="A13" s="7" t="s">
        <v>48</v>
      </c>
      <c r="B13" s="14">
        <f>B9+B11</f>
        <v>150000</v>
      </c>
      <c r="C13" s="13" t="s">
        <v>36</v>
      </c>
      <c r="D13" s="15"/>
    </row>
    <row r="14" spans="1:4" ht="15" customHeight="1" x14ac:dyDescent="0.2">
      <c r="A14" s="7" t="s">
        <v>49</v>
      </c>
      <c r="B14" s="12">
        <v>83100</v>
      </c>
      <c r="C14" s="13" t="s">
        <v>50</v>
      </c>
      <c r="D14" s="13" t="s">
        <v>51</v>
      </c>
    </row>
    <row r="15" spans="1:4" ht="15" customHeight="1" x14ac:dyDescent="0.2">
      <c r="A15" s="7" t="s">
        <v>52</v>
      </c>
      <c r="B15" s="12">
        <v>89230.77</v>
      </c>
      <c r="C15" s="13" t="s">
        <v>50</v>
      </c>
      <c r="D15" s="13" t="s">
        <v>53</v>
      </c>
    </row>
    <row r="16" spans="1:4" ht="15" customHeight="1" x14ac:dyDescent="0.2">
      <c r="A16" s="7" t="s">
        <v>54</v>
      </c>
      <c r="B16" s="14">
        <f>SUM(B14:B15)</f>
        <v>172330.77000000002</v>
      </c>
      <c r="C16" s="13" t="s">
        <v>36</v>
      </c>
      <c r="D16" s="15"/>
    </row>
    <row r="17" spans="1:4" ht="15" customHeight="1" x14ac:dyDescent="0.2">
      <c r="A17" s="7" t="s">
        <v>55</v>
      </c>
      <c r="B17" s="14">
        <f>B16-B9</f>
        <v>142330.77000000002</v>
      </c>
      <c r="C17" s="13" t="s">
        <v>36</v>
      </c>
      <c r="D17" s="15"/>
    </row>
    <row r="18" spans="1:4" ht="15" customHeight="1" x14ac:dyDescent="0.2">
      <c r="A18" s="7" t="s">
        <v>56</v>
      </c>
      <c r="B18" s="14">
        <f>B16-B12</f>
        <v>72330.770000000019</v>
      </c>
      <c r="C18" s="13" t="s">
        <v>36</v>
      </c>
      <c r="D18" s="15"/>
    </row>
    <row r="19" spans="1:4" ht="15" customHeight="1" x14ac:dyDescent="0.2">
      <c r="A19" s="7" t="s">
        <v>57</v>
      </c>
      <c r="B19" s="14">
        <f>B16-B13</f>
        <v>22330.770000000019</v>
      </c>
      <c r="C19" s="13" t="s">
        <v>36</v>
      </c>
      <c r="D19" s="13" t="s">
        <v>58</v>
      </c>
    </row>
    <row r="20" spans="1:4" ht="15" customHeight="1" x14ac:dyDescent="0.2">
      <c r="A20" s="7" t="s">
        <v>59</v>
      </c>
      <c r="B20" s="14">
        <f>B17-B10</f>
        <v>72330.770000000019</v>
      </c>
      <c r="C20" s="13" t="s">
        <v>36</v>
      </c>
      <c r="D20" s="15"/>
    </row>
    <row r="21" spans="1:4" ht="15" customHeight="1" x14ac:dyDescent="0.2">
      <c r="A21" s="7" t="s">
        <v>60</v>
      </c>
      <c r="B21" s="14">
        <f>B17-B11</f>
        <v>22330.770000000019</v>
      </c>
      <c r="C21" s="13" t="s">
        <v>36</v>
      </c>
      <c r="D21" s="15"/>
    </row>
    <row r="23" spans="1:4" ht="15" customHeight="1" x14ac:dyDescent="0.2">
      <c r="A23" s="9" t="s">
        <v>61</v>
      </c>
      <c r="B23" s="10"/>
      <c r="C23" s="10"/>
      <c r="D23" s="10"/>
    </row>
    <row r="24" spans="1:4" ht="15" customHeight="1" x14ac:dyDescent="0.2">
      <c r="A24" s="11" t="s">
        <v>26</v>
      </c>
      <c r="B24" s="11" t="s">
        <v>27</v>
      </c>
      <c r="C24" s="11" t="s">
        <v>28</v>
      </c>
      <c r="D24" s="11" t="s">
        <v>29</v>
      </c>
    </row>
    <row r="25" spans="1:4" ht="15" customHeight="1" x14ac:dyDescent="0.2">
      <c r="A25" s="7" t="s">
        <v>62</v>
      </c>
      <c r="B25" s="8" t="s">
        <v>63</v>
      </c>
      <c r="C25" s="13" t="s">
        <v>64</v>
      </c>
      <c r="D25" s="13" t="s">
        <v>65</v>
      </c>
    </row>
    <row r="27" spans="1:4" ht="15" customHeight="1" x14ac:dyDescent="0.2">
      <c r="A27" s="9" t="s">
        <v>66</v>
      </c>
      <c r="B27" s="10"/>
      <c r="C27" s="10"/>
      <c r="D27" s="10"/>
    </row>
    <row r="28" spans="1:4" ht="15" customHeight="1" x14ac:dyDescent="0.2">
      <c r="A28" s="11" t="s">
        <v>26</v>
      </c>
      <c r="B28" s="11" t="s">
        <v>27</v>
      </c>
      <c r="C28" s="11" t="s">
        <v>28</v>
      </c>
      <c r="D28" s="11" t="s">
        <v>29</v>
      </c>
    </row>
    <row r="29" spans="1:4" ht="15" customHeight="1" x14ac:dyDescent="0.2">
      <c r="A29" s="7" t="s">
        <v>67</v>
      </c>
      <c r="B29" s="12">
        <v>6000</v>
      </c>
      <c r="C29" s="13" t="s">
        <v>31</v>
      </c>
      <c r="D29" s="15"/>
    </row>
    <row r="30" spans="1:4" ht="15" customHeight="1" x14ac:dyDescent="0.2">
      <c r="A30" s="7" t="s">
        <v>68</v>
      </c>
      <c r="B30" s="12">
        <v>5000</v>
      </c>
      <c r="C30" s="13" t="s">
        <v>31</v>
      </c>
      <c r="D30" s="15"/>
    </row>
    <row r="31" spans="1:4" ht="15" customHeight="1" x14ac:dyDescent="0.2">
      <c r="A31" s="7" t="s">
        <v>69</v>
      </c>
      <c r="B31" s="12">
        <v>2000</v>
      </c>
      <c r="C31" s="13" t="s">
        <v>31</v>
      </c>
      <c r="D31" s="15"/>
    </row>
    <row r="32" spans="1:4" ht="15" customHeight="1" x14ac:dyDescent="0.2">
      <c r="A32" s="7" t="s">
        <v>70</v>
      </c>
      <c r="B32" s="14">
        <f>SUM(B29:B31)</f>
        <v>13000</v>
      </c>
      <c r="C32" s="13" t="s">
        <v>36</v>
      </c>
      <c r="D32" s="15"/>
    </row>
    <row r="33" spans="1:4" ht="15" customHeight="1" x14ac:dyDescent="0.2">
      <c r="A33" s="7" t="s">
        <v>71</v>
      </c>
      <c r="B33" s="16">
        <f>B29/B32</f>
        <v>0.46153846153846156</v>
      </c>
      <c r="C33" s="13" t="s">
        <v>36</v>
      </c>
      <c r="D33" s="15"/>
    </row>
    <row r="34" spans="1:4" ht="15" customHeight="1" x14ac:dyDescent="0.2">
      <c r="A34" s="7" t="s">
        <v>72</v>
      </c>
      <c r="B34" s="16">
        <f>B30/B32</f>
        <v>0.38461538461538464</v>
      </c>
      <c r="C34" s="13" t="s">
        <v>36</v>
      </c>
      <c r="D34" s="15"/>
    </row>
    <row r="35" spans="1:4" ht="15" customHeight="1" x14ac:dyDescent="0.2">
      <c r="A35" s="7" t="s">
        <v>73</v>
      </c>
      <c r="B35" s="16">
        <f>B31/B32</f>
        <v>0.15384615384615385</v>
      </c>
      <c r="C35" s="13" t="s">
        <v>36</v>
      </c>
      <c r="D35" s="15"/>
    </row>
    <row r="36" spans="1:4" ht="15" customHeight="1" x14ac:dyDescent="0.2">
      <c r="A36" s="7" t="s">
        <v>74</v>
      </c>
      <c r="B36" s="8" t="s">
        <v>75</v>
      </c>
      <c r="C36" s="13" t="s">
        <v>31</v>
      </c>
      <c r="D36" s="13" t="s">
        <v>76</v>
      </c>
    </row>
    <row r="38" spans="1:4" ht="15" customHeight="1" x14ac:dyDescent="0.2">
      <c r="A38" s="9" t="s">
        <v>77</v>
      </c>
      <c r="B38" s="10"/>
      <c r="C38" s="10"/>
      <c r="D38" s="10"/>
    </row>
    <row r="39" spans="1:4" ht="15" customHeight="1" x14ac:dyDescent="0.2">
      <c r="A39" s="11" t="s">
        <v>26</v>
      </c>
      <c r="B39" s="11" t="s">
        <v>27</v>
      </c>
      <c r="C39" s="11" t="s">
        <v>28</v>
      </c>
      <c r="D39" s="11" t="s">
        <v>29</v>
      </c>
    </row>
    <row r="40" spans="1:4" ht="15" customHeight="1" x14ac:dyDescent="0.2">
      <c r="A40" s="7" t="s">
        <v>78</v>
      </c>
      <c r="B40" s="12">
        <v>878274</v>
      </c>
      <c r="C40" s="13" t="s">
        <v>50</v>
      </c>
      <c r="D40" s="15"/>
    </row>
    <row r="41" spans="1:4" ht="15" customHeight="1" x14ac:dyDescent="0.2">
      <c r="A41" s="7" t="s">
        <v>79</v>
      </c>
      <c r="B41" s="12">
        <v>89230.77</v>
      </c>
      <c r="C41" s="13" t="s">
        <v>50</v>
      </c>
      <c r="D41" s="15"/>
    </row>
    <row r="42" spans="1:4" ht="15" customHeight="1" x14ac:dyDescent="0.2">
      <c r="A42" s="7" t="s">
        <v>80</v>
      </c>
      <c r="B42" s="12">
        <v>111570.37</v>
      </c>
      <c r="C42" s="13" t="s">
        <v>50</v>
      </c>
      <c r="D42" s="15"/>
    </row>
    <row r="43" spans="1:4" ht="15" customHeight="1" x14ac:dyDescent="0.2">
      <c r="A43" s="7" t="s">
        <v>81</v>
      </c>
      <c r="B43" s="12">
        <v>100000</v>
      </c>
      <c r="C43" s="13" t="s">
        <v>50</v>
      </c>
      <c r="D43" s="15"/>
    </row>
    <row r="44" spans="1:4" ht="15" customHeight="1" x14ac:dyDescent="0.2">
      <c r="A44" s="7" t="s">
        <v>82</v>
      </c>
      <c r="B44" s="12">
        <v>83100</v>
      </c>
      <c r="C44" s="13" t="s">
        <v>50</v>
      </c>
      <c r="D44" s="13" t="s">
        <v>83</v>
      </c>
    </row>
    <row r="45" spans="1:4" ht="15" customHeight="1" x14ac:dyDescent="0.2">
      <c r="A45" s="17" t="s">
        <v>84</v>
      </c>
      <c r="B45" s="18">
        <f>SUM(B40:B44)</f>
        <v>1262175.1400000001</v>
      </c>
      <c r="C45" s="19" t="s">
        <v>36</v>
      </c>
      <c r="D45" s="20"/>
    </row>
    <row r="46" spans="1:4" ht="15" customHeight="1" x14ac:dyDescent="0.2">
      <c r="A46" s="7" t="s">
        <v>85</v>
      </c>
      <c r="B46" s="16">
        <f>B40/B45</f>
        <v>0.6958416246417275</v>
      </c>
      <c r="C46" s="13" t="s">
        <v>36</v>
      </c>
      <c r="D46" s="15"/>
    </row>
    <row r="47" spans="1:4" ht="15" customHeight="1" x14ac:dyDescent="0.2">
      <c r="A47" s="7" t="s">
        <v>86</v>
      </c>
      <c r="B47" s="16">
        <f>B41/B45</f>
        <v>7.0696028761903826E-2</v>
      </c>
      <c r="C47" s="13" t="s">
        <v>36</v>
      </c>
      <c r="D47" s="15"/>
    </row>
    <row r="48" spans="1:4" ht="15" customHeight="1" x14ac:dyDescent="0.2">
      <c r="A48" s="7" t="s">
        <v>87</v>
      </c>
      <c r="B48" s="16">
        <f>B42/B45</f>
        <v>8.8395315724567339E-2</v>
      </c>
      <c r="C48" s="13" t="s">
        <v>36</v>
      </c>
      <c r="D48" s="15"/>
    </row>
    <row r="49" spans="1:4" ht="15" customHeight="1" x14ac:dyDescent="0.2">
      <c r="A49" s="7" t="s">
        <v>88</v>
      </c>
      <c r="B49" s="16">
        <f>B43/B45</f>
        <v>7.9228307412234397E-2</v>
      </c>
      <c r="C49" s="13" t="s">
        <v>36</v>
      </c>
      <c r="D49" s="15"/>
    </row>
    <row r="50" spans="1:4" ht="15" customHeight="1" x14ac:dyDescent="0.2">
      <c r="A50" s="7" t="s">
        <v>89</v>
      </c>
      <c r="B50" s="16">
        <f>B44/B45</f>
        <v>6.5838723459566789E-2</v>
      </c>
      <c r="C50" s="13" t="s">
        <v>36</v>
      </c>
      <c r="D50" s="15"/>
    </row>
    <row r="51" spans="1:4" ht="15" customHeight="1" x14ac:dyDescent="0.2">
      <c r="A51" s="7" t="s">
        <v>90</v>
      </c>
      <c r="B51" s="8" t="s">
        <v>75</v>
      </c>
      <c r="C51" s="13" t="s">
        <v>31</v>
      </c>
      <c r="D51" s="13" t="s">
        <v>91</v>
      </c>
    </row>
    <row r="53" spans="1:4" ht="15" customHeight="1" x14ac:dyDescent="0.2">
      <c r="A53" s="9" t="s">
        <v>92</v>
      </c>
      <c r="B53" s="10"/>
      <c r="C53" s="10"/>
      <c r="D53" s="10"/>
    </row>
    <row r="54" spans="1:4" ht="15" customHeight="1" x14ac:dyDescent="0.2">
      <c r="A54" s="11" t="s">
        <v>26</v>
      </c>
      <c r="B54" s="11" t="s">
        <v>27</v>
      </c>
      <c r="C54" s="11" t="s">
        <v>28</v>
      </c>
      <c r="D54" s="11" t="s">
        <v>29</v>
      </c>
    </row>
    <row r="55" spans="1:4" ht="15" customHeight="1" x14ac:dyDescent="0.2">
      <c r="A55" s="7" t="s">
        <v>93</v>
      </c>
      <c r="B55" s="8" t="s">
        <v>94</v>
      </c>
      <c r="C55" s="13" t="s">
        <v>31</v>
      </c>
      <c r="D55" s="13" t="s">
        <v>95</v>
      </c>
    </row>
    <row r="56" spans="1:4" ht="15" customHeight="1" x14ac:dyDescent="0.2">
      <c r="A56" s="7" t="s">
        <v>96</v>
      </c>
      <c r="B56" s="8" t="s">
        <v>97</v>
      </c>
      <c r="C56" s="13" t="s">
        <v>31</v>
      </c>
      <c r="D56" s="13" t="s">
        <v>98</v>
      </c>
    </row>
    <row r="58" spans="1:4" ht="15" customHeight="1" x14ac:dyDescent="0.2">
      <c r="A58" s="9" t="s">
        <v>99</v>
      </c>
      <c r="B58" s="10"/>
      <c r="C58" s="10"/>
      <c r="D58" s="10"/>
    </row>
    <row r="59" spans="1:4" ht="15" customHeight="1" x14ac:dyDescent="0.2">
      <c r="A59" s="11" t="s">
        <v>26</v>
      </c>
      <c r="B59" s="11" t="s">
        <v>27</v>
      </c>
      <c r="C59" s="11" t="s">
        <v>28</v>
      </c>
      <c r="D59" s="11" t="s">
        <v>29</v>
      </c>
    </row>
    <row r="60" spans="1:4" ht="15" customHeight="1" x14ac:dyDescent="0.2">
      <c r="A60" s="7" t="s">
        <v>100</v>
      </c>
      <c r="B60" s="12">
        <v>-215092</v>
      </c>
      <c r="C60" s="13" t="s">
        <v>50</v>
      </c>
      <c r="D60" s="13" t="s">
        <v>101</v>
      </c>
    </row>
    <row r="61" spans="1:4" ht="15" customHeight="1" x14ac:dyDescent="0.2">
      <c r="A61" s="7" t="s">
        <v>102</v>
      </c>
      <c r="B61" s="8" t="s">
        <v>103</v>
      </c>
      <c r="C61" s="13" t="s">
        <v>31</v>
      </c>
      <c r="D61" s="13" t="s">
        <v>104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9"/>
  <sheetViews>
    <sheetView topLeftCell="A22" zoomScaleNormal="100" workbookViewId="0">
      <selection activeCell="B41" sqref="B41"/>
    </sheetView>
  </sheetViews>
  <sheetFormatPr baseColWidth="10" defaultColWidth="8.6640625" defaultRowHeight="15" x14ac:dyDescent="0.2"/>
  <cols>
    <col min="1" max="1" width="57.33203125" customWidth="1"/>
    <col min="2" max="2" width="16" customWidth="1"/>
    <col min="3" max="3" width="30" customWidth="1"/>
    <col min="4" max="4" width="50" customWidth="1"/>
  </cols>
  <sheetData>
    <row r="1" spans="1:4" ht="15.75" customHeight="1" x14ac:dyDescent="0.2">
      <c r="A1" s="5" t="s">
        <v>105</v>
      </c>
    </row>
    <row r="3" spans="1:4" ht="15" customHeight="1" x14ac:dyDescent="0.2">
      <c r="A3" s="9" t="s">
        <v>25</v>
      </c>
      <c r="B3" s="10"/>
      <c r="C3" s="10"/>
      <c r="D3" s="10"/>
    </row>
    <row r="4" spans="1:4" ht="15" customHeight="1" x14ac:dyDescent="0.2">
      <c r="A4" s="11" t="s">
        <v>26</v>
      </c>
      <c r="B4" s="11" t="s">
        <v>27</v>
      </c>
      <c r="C4" s="11" t="s">
        <v>28</v>
      </c>
      <c r="D4" s="11" t="s">
        <v>29</v>
      </c>
    </row>
    <row r="5" spans="1:4" ht="15" customHeight="1" x14ac:dyDescent="0.2">
      <c r="A5" s="7" t="s">
        <v>30</v>
      </c>
      <c r="B5" s="12">
        <v>32500</v>
      </c>
      <c r="C5" s="13" t="s">
        <v>31</v>
      </c>
      <c r="D5" s="13" t="s">
        <v>106</v>
      </c>
    </row>
    <row r="6" spans="1:4" ht="15" customHeight="1" x14ac:dyDescent="0.2">
      <c r="A6" s="7" t="s">
        <v>33</v>
      </c>
      <c r="B6" s="12">
        <v>80000</v>
      </c>
      <c r="C6" s="13" t="s">
        <v>31</v>
      </c>
      <c r="D6" s="13" t="s">
        <v>107</v>
      </c>
    </row>
    <row r="7" spans="1:4" ht="15" customHeight="1" x14ac:dyDescent="0.2">
      <c r="A7" s="7" t="s">
        <v>108</v>
      </c>
      <c r="B7" s="14">
        <f>B6-B5</f>
        <v>47500</v>
      </c>
      <c r="C7" s="13" t="s">
        <v>36</v>
      </c>
      <c r="D7" s="13" t="s">
        <v>109</v>
      </c>
    </row>
    <row r="8" spans="1:4" ht="15" customHeight="1" x14ac:dyDescent="0.2">
      <c r="A8" s="7" t="s">
        <v>41</v>
      </c>
      <c r="B8" s="12">
        <v>125000</v>
      </c>
      <c r="C8" s="13" t="s">
        <v>31</v>
      </c>
      <c r="D8" s="13" t="s">
        <v>110</v>
      </c>
    </row>
    <row r="9" spans="1:4" ht="15" customHeight="1" x14ac:dyDescent="0.2">
      <c r="A9" s="7" t="s">
        <v>43</v>
      </c>
      <c r="B9" s="12">
        <v>125000</v>
      </c>
      <c r="C9" s="13" t="s">
        <v>31</v>
      </c>
      <c r="D9" s="15"/>
    </row>
    <row r="10" spans="1:4" ht="15" customHeight="1" x14ac:dyDescent="0.2">
      <c r="A10" s="7" t="s">
        <v>45</v>
      </c>
      <c r="B10" s="12">
        <v>175000</v>
      </c>
      <c r="C10" s="13" t="s">
        <v>31</v>
      </c>
      <c r="D10" s="15"/>
    </row>
    <row r="11" spans="1:4" ht="15" customHeight="1" x14ac:dyDescent="0.2">
      <c r="A11" s="7" t="s">
        <v>47</v>
      </c>
      <c r="B11" s="14">
        <f>B8+B9</f>
        <v>250000</v>
      </c>
      <c r="C11" s="13" t="s">
        <v>36</v>
      </c>
      <c r="D11" s="15"/>
    </row>
    <row r="12" spans="1:4" ht="15" customHeight="1" x14ac:dyDescent="0.2">
      <c r="A12" s="7" t="s">
        <v>48</v>
      </c>
      <c r="B12" s="14">
        <f>B8+B10</f>
        <v>300000</v>
      </c>
      <c r="C12" s="13" t="s">
        <v>36</v>
      </c>
      <c r="D12" s="13" t="s">
        <v>111</v>
      </c>
    </row>
    <row r="13" spans="1:4" ht="15" customHeight="1" x14ac:dyDescent="0.2">
      <c r="A13" s="7" t="s">
        <v>49</v>
      </c>
      <c r="B13" s="12">
        <v>54375</v>
      </c>
      <c r="C13" s="13" t="s">
        <v>112</v>
      </c>
      <c r="D13" s="15"/>
    </row>
    <row r="14" spans="1:4" ht="15" customHeight="1" x14ac:dyDescent="0.2">
      <c r="A14" s="7" t="s">
        <v>113</v>
      </c>
      <c r="B14" s="12">
        <v>60000</v>
      </c>
      <c r="C14" s="13" t="s">
        <v>112</v>
      </c>
      <c r="D14" s="13" t="s">
        <v>114</v>
      </c>
    </row>
    <row r="15" spans="1:4" ht="15" customHeight="1" x14ac:dyDescent="0.2">
      <c r="A15" s="7" t="s">
        <v>115</v>
      </c>
      <c r="B15" s="12">
        <v>85000</v>
      </c>
      <c r="C15" s="13" t="s">
        <v>112</v>
      </c>
      <c r="D15" s="13" t="s">
        <v>116</v>
      </c>
    </row>
    <row r="16" spans="1:4" ht="15" customHeight="1" x14ac:dyDescent="0.2">
      <c r="A16" s="7" t="s">
        <v>52</v>
      </c>
      <c r="B16" s="12">
        <v>0</v>
      </c>
      <c r="C16" s="13" t="s">
        <v>31</v>
      </c>
      <c r="D16" s="13" t="s">
        <v>117</v>
      </c>
    </row>
    <row r="17" spans="1:4" ht="15" customHeight="1" x14ac:dyDescent="0.2">
      <c r="A17" s="7" t="s">
        <v>54</v>
      </c>
      <c r="B17" s="14">
        <f>SUM(B13:B16)</f>
        <v>199375</v>
      </c>
      <c r="C17" s="13" t="s">
        <v>36</v>
      </c>
      <c r="D17" s="15"/>
    </row>
    <row r="18" spans="1:4" ht="15" customHeight="1" x14ac:dyDescent="0.2">
      <c r="A18" s="7" t="s">
        <v>55</v>
      </c>
      <c r="B18" s="14">
        <f>B17-B8</f>
        <v>74375</v>
      </c>
      <c r="C18" s="13" t="s">
        <v>36</v>
      </c>
      <c r="D18" s="15"/>
    </row>
    <row r="19" spans="1:4" ht="15" customHeight="1" x14ac:dyDescent="0.2">
      <c r="A19" s="7" t="s">
        <v>56</v>
      </c>
      <c r="B19" s="14">
        <f>B17-B11</f>
        <v>-50625</v>
      </c>
      <c r="C19" s="13" t="s">
        <v>36</v>
      </c>
      <c r="D19" s="15"/>
    </row>
    <row r="20" spans="1:4" ht="15" customHeight="1" x14ac:dyDescent="0.2">
      <c r="A20" s="7" t="s">
        <v>57</v>
      </c>
      <c r="B20" s="14">
        <f>B17-B12</f>
        <v>-100625</v>
      </c>
      <c r="C20" s="13" t="s">
        <v>36</v>
      </c>
      <c r="D20" s="15"/>
    </row>
    <row r="21" spans="1:4" ht="15" customHeight="1" x14ac:dyDescent="0.2">
      <c r="A21" s="7" t="s">
        <v>59</v>
      </c>
      <c r="B21" s="14">
        <f>B18-B9</f>
        <v>-50625</v>
      </c>
      <c r="C21" s="13" t="s">
        <v>36</v>
      </c>
      <c r="D21" s="13" t="s">
        <v>118</v>
      </c>
    </row>
    <row r="22" spans="1:4" ht="15" customHeight="1" x14ac:dyDescent="0.2">
      <c r="A22" s="7" t="s">
        <v>60</v>
      </c>
      <c r="B22" s="14">
        <f>B18-B10</f>
        <v>-100625</v>
      </c>
      <c r="C22" s="13" t="s">
        <v>36</v>
      </c>
      <c r="D22" s="15"/>
    </row>
    <row r="24" spans="1:4" ht="15" customHeight="1" x14ac:dyDescent="0.2">
      <c r="A24" s="9" t="s">
        <v>61</v>
      </c>
      <c r="B24" s="10"/>
      <c r="C24" s="10"/>
      <c r="D24" s="10"/>
    </row>
    <row r="25" spans="1:4" ht="15" customHeight="1" x14ac:dyDescent="0.2">
      <c r="A25" s="11" t="s">
        <v>26</v>
      </c>
      <c r="B25" s="11" t="s">
        <v>27</v>
      </c>
      <c r="C25" s="11" t="s">
        <v>28</v>
      </c>
      <c r="D25" s="11" t="s">
        <v>29</v>
      </c>
    </row>
    <row r="26" spans="1:4" ht="15" customHeight="1" x14ac:dyDescent="0.2">
      <c r="A26" s="7" t="s">
        <v>62</v>
      </c>
      <c r="B26" s="8" t="s">
        <v>63</v>
      </c>
      <c r="C26" s="13" t="s">
        <v>64</v>
      </c>
      <c r="D26" s="13" t="s">
        <v>65</v>
      </c>
    </row>
    <row r="28" spans="1:4" ht="15" customHeight="1" x14ac:dyDescent="0.2">
      <c r="A28" s="9" t="s">
        <v>66</v>
      </c>
      <c r="B28" s="10"/>
      <c r="C28" s="10"/>
      <c r="D28" s="10"/>
    </row>
    <row r="29" spans="1:4" ht="15" customHeight="1" x14ac:dyDescent="0.2">
      <c r="A29" s="11" t="s">
        <v>26</v>
      </c>
      <c r="B29" s="11" t="s">
        <v>27</v>
      </c>
      <c r="C29" s="11" t="s">
        <v>28</v>
      </c>
      <c r="D29" s="11" t="s">
        <v>29</v>
      </c>
    </row>
    <row r="30" spans="1:4" ht="15" customHeight="1" x14ac:dyDescent="0.2">
      <c r="A30" s="7" t="s">
        <v>119</v>
      </c>
      <c r="B30" s="12">
        <v>60000</v>
      </c>
      <c r="C30" s="13" t="s">
        <v>31</v>
      </c>
      <c r="D30" s="13" t="s">
        <v>120</v>
      </c>
    </row>
    <row r="31" spans="1:4" ht="15" customHeight="1" x14ac:dyDescent="0.2">
      <c r="A31" s="7" t="s">
        <v>121</v>
      </c>
      <c r="B31" s="12">
        <v>20000</v>
      </c>
      <c r="C31" s="13" t="s">
        <v>31</v>
      </c>
      <c r="D31" s="15"/>
    </row>
    <row r="32" spans="1:4" ht="15" customHeight="1" x14ac:dyDescent="0.2">
      <c r="A32" s="7" t="s">
        <v>70</v>
      </c>
      <c r="B32" s="14">
        <f>SUM(B30:B31)</f>
        <v>80000</v>
      </c>
      <c r="C32" s="13" t="s">
        <v>36</v>
      </c>
      <c r="D32" s="15"/>
    </row>
    <row r="33" spans="1:4" ht="15" customHeight="1" x14ac:dyDescent="0.2">
      <c r="A33" s="7" t="s">
        <v>122</v>
      </c>
      <c r="B33" s="16">
        <f>B30/B32</f>
        <v>0.75</v>
      </c>
      <c r="C33" s="13" t="s">
        <v>36</v>
      </c>
      <c r="D33" s="15"/>
    </row>
    <row r="34" spans="1:4" ht="15" customHeight="1" x14ac:dyDescent="0.2">
      <c r="A34" s="7" t="s">
        <v>123</v>
      </c>
      <c r="B34" s="16">
        <f>B31/B32</f>
        <v>0.25</v>
      </c>
      <c r="C34" s="13" t="s">
        <v>36</v>
      </c>
      <c r="D34" s="15"/>
    </row>
    <row r="35" spans="1:4" ht="15" customHeight="1" x14ac:dyDescent="0.2">
      <c r="A35" s="7" t="s">
        <v>74</v>
      </c>
      <c r="B35" s="8" t="s">
        <v>75</v>
      </c>
      <c r="C35" s="13" t="s">
        <v>31</v>
      </c>
      <c r="D35" s="13" t="s">
        <v>124</v>
      </c>
    </row>
    <row r="37" spans="1:4" ht="15" customHeight="1" x14ac:dyDescent="0.2">
      <c r="A37" s="9" t="s">
        <v>77</v>
      </c>
      <c r="B37" s="10"/>
      <c r="C37" s="10"/>
      <c r="D37" s="10"/>
    </row>
    <row r="38" spans="1:4" ht="15" customHeight="1" x14ac:dyDescent="0.2">
      <c r="A38" s="11" t="s">
        <v>26</v>
      </c>
      <c r="B38" s="11" t="s">
        <v>27</v>
      </c>
      <c r="C38" s="11" t="s">
        <v>28</v>
      </c>
      <c r="D38" s="11" t="s">
        <v>29</v>
      </c>
    </row>
    <row r="39" spans="1:4" ht="15" customHeight="1" x14ac:dyDescent="0.2">
      <c r="A39" s="7" t="s">
        <v>125</v>
      </c>
      <c r="B39" s="12">
        <v>2196689</v>
      </c>
      <c r="C39" s="13" t="s">
        <v>112</v>
      </c>
      <c r="D39" s="15"/>
    </row>
    <row r="40" spans="1:4" ht="15" customHeight="1" x14ac:dyDescent="0.2">
      <c r="A40" s="7" t="s">
        <v>126</v>
      </c>
      <c r="B40" s="21">
        <f>B60+B61</f>
        <v>1158832</v>
      </c>
      <c r="C40" s="13" t="s">
        <v>112</v>
      </c>
      <c r="D40" s="13" t="s">
        <v>127</v>
      </c>
    </row>
    <row r="41" spans="1:4" ht="15" customHeight="1" x14ac:dyDescent="0.2">
      <c r="A41" s="7" t="s">
        <v>128</v>
      </c>
      <c r="B41" s="21">
        <f>SUM(B52:B54)</f>
        <v>531793.35</v>
      </c>
      <c r="C41" s="13" t="s">
        <v>112</v>
      </c>
      <c r="D41" s="15"/>
    </row>
    <row r="42" spans="1:4" ht="15" customHeight="1" x14ac:dyDescent="0.2">
      <c r="A42" s="7" t="s">
        <v>129</v>
      </c>
      <c r="B42" s="12">
        <v>139351.5</v>
      </c>
      <c r="C42" s="13" t="s">
        <v>112</v>
      </c>
      <c r="D42" s="15"/>
    </row>
    <row r="43" spans="1:4" ht="15" customHeight="1" x14ac:dyDescent="0.2">
      <c r="A43" s="7" t="s">
        <v>130</v>
      </c>
      <c r="B43" s="12">
        <v>199375</v>
      </c>
      <c r="C43" s="13" t="s">
        <v>112</v>
      </c>
      <c r="D43" s="13" t="s">
        <v>131</v>
      </c>
    </row>
    <row r="44" spans="1:4" ht="15" customHeight="1" x14ac:dyDescent="0.2">
      <c r="A44" s="17" t="s">
        <v>84</v>
      </c>
      <c r="B44" s="18">
        <f>SUM(B39:B43)</f>
        <v>4226040.8499999996</v>
      </c>
      <c r="C44" s="19" t="s">
        <v>36</v>
      </c>
      <c r="D44" s="20"/>
    </row>
    <row r="45" spans="1:4" ht="15" customHeight="1" x14ac:dyDescent="0.2">
      <c r="A45" s="7" t="s">
        <v>132</v>
      </c>
      <c r="B45" s="16">
        <f>B39/B44</f>
        <v>0.51979833559819943</v>
      </c>
      <c r="C45" s="13" t="s">
        <v>36</v>
      </c>
      <c r="D45" s="15"/>
    </row>
    <row r="46" spans="1:4" ht="15" customHeight="1" x14ac:dyDescent="0.2">
      <c r="A46" s="7" t="s">
        <v>133</v>
      </c>
      <c r="B46" s="16">
        <f>B40/B44</f>
        <v>0.27421220975656213</v>
      </c>
      <c r="C46" s="13" t="s">
        <v>36</v>
      </c>
      <c r="D46" s="15"/>
    </row>
    <row r="47" spans="1:4" ht="15" customHeight="1" x14ac:dyDescent="0.2">
      <c r="A47" s="7" t="s">
        <v>134</v>
      </c>
      <c r="B47" s="16">
        <f>B41/B44</f>
        <v>0.12583724788178516</v>
      </c>
      <c r="C47" s="13" t="s">
        <v>36</v>
      </c>
      <c r="D47" s="15"/>
    </row>
    <row r="48" spans="1:4" ht="15" customHeight="1" x14ac:dyDescent="0.2">
      <c r="A48" s="7" t="s">
        <v>87</v>
      </c>
      <c r="B48" s="16">
        <f>B42/B44</f>
        <v>3.2974480121270008E-2</v>
      </c>
      <c r="C48" s="13" t="s">
        <v>36</v>
      </c>
      <c r="D48" s="15"/>
    </row>
    <row r="49" spans="1:4" ht="15" customHeight="1" x14ac:dyDescent="0.2">
      <c r="A49" s="7" t="s">
        <v>135</v>
      </c>
      <c r="B49" s="16">
        <f>B43/B44</f>
        <v>4.7177726642183317E-2</v>
      </c>
      <c r="C49" s="13" t="s">
        <v>36</v>
      </c>
      <c r="D49" s="15"/>
    </row>
    <row r="51" spans="1:4" ht="15" customHeight="1" x14ac:dyDescent="0.2">
      <c r="A51" s="6" t="s">
        <v>136</v>
      </c>
    </row>
    <row r="52" spans="1:4" ht="15" customHeight="1" x14ac:dyDescent="0.2">
      <c r="A52" s="7" t="s">
        <v>137</v>
      </c>
      <c r="B52" s="12">
        <v>348644</v>
      </c>
      <c r="C52" s="13" t="s">
        <v>138</v>
      </c>
      <c r="D52" s="15"/>
    </row>
    <row r="53" spans="1:4" ht="15" customHeight="1" x14ac:dyDescent="0.2">
      <c r="A53" s="7" t="s">
        <v>139</v>
      </c>
      <c r="B53" s="12">
        <v>126980</v>
      </c>
      <c r="C53" s="13" t="s">
        <v>138</v>
      </c>
      <c r="D53" s="15"/>
    </row>
    <row r="54" spans="1:4" ht="15" customHeight="1" x14ac:dyDescent="0.2">
      <c r="A54" s="7" t="s">
        <v>140</v>
      </c>
      <c r="B54" s="12">
        <v>56169.35</v>
      </c>
      <c r="C54" s="13" t="s">
        <v>138</v>
      </c>
      <c r="D54" s="15"/>
    </row>
    <row r="55" spans="1:4" ht="15" customHeight="1" x14ac:dyDescent="0.2">
      <c r="A55" s="7" t="s">
        <v>141</v>
      </c>
      <c r="B55" s="16">
        <f>B52/B41</f>
        <v>0.65560052603139929</v>
      </c>
      <c r="C55" s="13" t="s">
        <v>36</v>
      </c>
      <c r="D55" s="15"/>
    </row>
    <row r="56" spans="1:4" ht="15" customHeight="1" x14ac:dyDescent="0.2">
      <c r="A56" s="7" t="s">
        <v>142</v>
      </c>
      <c r="B56" s="16">
        <f>B53/B41</f>
        <v>0.23877696101314544</v>
      </c>
      <c r="C56" s="13" t="s">
        <v>36</v>
      </c>
      <c r="D56" s="15"/>
    </row>
    <row r="57" spans="1:4" ht="15" customHeight="1" x14ac:dyDescent="0.2">
      <c r="A57" s="7" t="s">
        <v>143</v>
      </c>
      <c r="B57" s="16">
        <f>B54/B41</f>
        <v>0.10562251295545536</v>
      </c>
      <c r="C57" s="13" t="s">
        <v>36</v>
      </c>
      <c r="D57" s="15"/>
    </row>
    <row r="58" spans="1:4" ht="15" customHeight="1" x14ac:dyDescent="0.2"/>
    <row r="59" spans="1:4" ht="15" customHeight="1" x14ac:dyDescent="0.2">
      <c r="A59" s="6" t="s">
        <v>144</v>
      </c>
    </row>
    <row r="60" spans="1:4" ht="15" customHeight="1" x14ac:dyDescent="0.2">
      <c r="A60" s="7" t="s">
        <v>145</v>
      </c>
      <c r="B60" s="12">
        <v>755018</v>
      </c>
    </row>
    <row r="61" spans="1:4" ht="15" customHeight="1" x14ac:dyDescent="0.2">
      <c r="A61" s="7" t="s">
        <v>146</v>
      </c>
      <c r="B61" s="12">
        <v>403814</v>
      </c>
    </row>
    <row r="62" spans="1:4" ht="15" customHeight="1" x14ac:dyDescent="0.2">
      <c r="A62" s="7" t="s">
        <v>147</v>
      </c>
      <c r="B62" s="16">
        <f>B60/B40</f>
        <v>0.65153361315531499</v>
      </c>
    </row>
    <row r="63" spans="1:4" ht="15" customHeight="1" x14ac:dyDescent="0.2">
      <c r="A63" s="7" t="s">
        <v>148</v>
      </c>
      <c r="B63" s="16">
        <f>B61/B40</f>
        <v>0.34846638684468501</v>
      </c>
    </row>
    <row r="64" spans="1:4" ht="15" customHeight="1" x14ac:dyDescent="0.2">
      <c r="A64" s="7" t="s">
        <v>90</v>
      </c>
      <c r="B64" s="8" t="s">
        <v>75</v>
      </c>
      <c r="C64" s="13" t="s">
        <v>31</v>
      </c>
      <c r="D64" s="13" t="s">
        <v>149</v>
      </c>
    </row>
    <row r="65" spans="1:4" ht="15" customHeight="1" x14ac:dyDescent="0.2"/>
    <row r="66" spans="1:4" ht="15" customHeight="1" x14ac:dyDescent="0.2">
      <c r="A66" s="9" t="s">
        <v>92</v>
      </c>
      <c r="B66" s="10"/>
      <c r="C66" s="10"/>
      <c r="D66" s="10"/>
    </row>
    <row r="67" spans="1:4" ht="15" customHeight="1" x14ac:dyDescent="0.2">
      <c r="A67" s="11" t="s">
        <v>26</v>
      </c>
      <c r="B67" s="11" t="s">
        <v>27</v>
      </c>
      <c r="C67" s="11" t="s">
        <v>28</v>
      </c>
      <c r="D67" s="11" t="s">
        <v>29</v>
      </c>
    </row>
    <row r="68" spans="1:4" ht="15" customHeight="1" x14ac:dyDescent="0.2">
      <c r="A68" s="7" t="s">
        <v>150</v>
      </c>
      <c r="B68" s="8" t="s">
        <v>151</v>
      </c>
      <c r="C68" s="13" t="s">
        <v>152</v>
      </c>
      <c r="D68" s="13" t="s">
        <v>153</v>
      </c>
    </row>
    <row r="69" spans="1:4" ht="15" customHeight="1" x14ac:dyDescent="0.2">
      <c r="A69" s="7" t="s">
        <v>154</v>
      </c>
      <c r="B69" s="22">
        <f ca="1">DATE(2026,9,29)-TODAY()</f>
        <v>46</v>
      </c>
      <c r="C69" s="13" t="s">
        <v>36</v>
      </c>
      <c r="D69" s="15"/>
    </row>
    <row r="70" spans="1:4" ht="15" customHeight="1" x14ac:dyDescent="0.2">
      <c r="A70" s="7" t="s">
        <v>155</v>
      </c>
      <c r="B70" s="8" t="s">
        <v>156</v>
      </c>
      <c r="C70" s="13" t="s">
        <v>152</v>
      </c>
      <c r="D70" s="13" t="s">
        <v>157</v>
      </c>
    </row>
    <row r="71" spans="1:4" ht="45" customHeight="1" x14ac:dyDescent="0.2">
      <c r="A71" s="7" t="s">
        <v>154</v>
      </c>
      <c r="B71" s="22">
        <f ca="1">DATE(2026,8,26)-TODAY()</f>
        <v>12</v>
      </c>
      <c r="C71" s="13" t="s">
        <v>36</v>
      </c>
      <c r="D71" s="13" t="s">
        <v>158</v>
      </c>
    </row>
    <row r="72" spans="1:4" ht="15" customHeight="1" x14ac:dyDescent="0.2"/>
    <row r="73" spans="1:4" ht="15" customHeight="1" x14ac:dyDescent="0.2">
      <c r="A73" s="7" t="s">
        <v>96</v>
      </c>
      <c r="B73" s="8" t="s">
        <v>97</v>
      </c>
      <c r="C73" s="13" t="s">
        <v>31</v>
      </c>
      <c r="D73" s="13" t="s">
        <v>159</v>
      </c>
    </row>
    <row r="75" spans="1:4" ht="15" customHeight="1" x14ac:dyDescent="0.2">
      <c r="A75" s="9" t="s">
        <v>99</v>
      </c>
      <c r="B75" s="10"/>
      <c r="C75" s="10"/>
      <c r="D75" s="10"/>
    </row>
    <row r="76" spans="1:4" ht="15" customHeight="1" x14ac:dyDescent="0.2">
      <c r="A76" s="11" t="s">
        <v>26</v>
      </c>
      <c r="B76" s="11" t="s">
        <v>27</v>
      </c>
      <c r="C76" s="11" t="s">
        <v>28</v>
      </c>
      <c r="D76" s="11" t="s">
        <v>29</v>
      </c>
    </row>
    <row r="77" spans="1:4" ht="63.75" customHeight="1" x14ac:dyDescent="0.2">
      <c r="A77" s="7" t="s">
        <v>160</v>
      </c>
      <c r="B77" s="12">
        <f>B40</f>
        <v>1158832</v>
      </c>
      <c r="C77" s="13" t="s">
        <v>31</v>
      </c>
      <c r="D77" s="13" t="s">
        <v>161</v>
      </c>
    </row>
    <row r="78" spans="1:4" ht="32.25" customHeight="1" x14ac:dyDescent="0.2">
      <c r="A78" s="7" t="s">
        <v>100</v>
      </c>
      <c r="B78" s="12">
        <v>-162000</v>
      </c>
      <c r="C78" s="13" t="s">
        <v>162</v>
      </c>
      <c r="D78" s="13" t="s">
        <v>163</v>
      </c>
    </row>
    <row r="79" spans="1:4" ht="32.25" customHeight="1" x14ac:dyDescent="0.2">
      <c r="A79" s="7" t="s">
        <v>102</v>
      </c>
      <c r="B79" s="8" t="s">
        <v>103</v>
      </c>
      <c r="C79" s="13" t="s">
        <v>31</v>
      </c>
      <c r="D79" s="13" t="s">
        <v>164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35"/>
  <sheetViews>
    <sheetView topLeftCell="A2" zoomScaleNormal="100" workbookViewId="0">
      <selection activeCell="C24" sqref="C24"/>
    </sheetView>
  </sheetViews>
  <sheetFormatPr baseColWidth="10" defaultColWidth="8.6640625" defaultRowHeight="15" x14ac:dyDescent="0.2"/>
  <cols>
    <col min="1" max="1" width="20" style="23" customWidth="1"/>
    <col min="2" max="2" width="50.6640625" style="23" customWidth="1"/>
    <col min="3" max="3" width="15" style="23" customWidth="1"/>
    <col min="4" max="5" width="13" style="23" customWidth="1"/>
    <col min="6" max="6" width="50" style="23" customWidth="1"/>
    <col min="7" max="16384" width="8.6640625" style="23"/>
  </cols>
  <sheetData>
    <row r="1" spans="1:6" ht="16.5" customHeight="1" x14ac:dyDescent="0.2">
      <c r="A1" s="78" t="s">
        <v>165</v>
      </c>
      <c r="B1" s="78"/>
      <c r="C1" s="78"/>
      <c r="D1" s="78"/>
      <c r="E1" s="78"/>
      <c r="F1" s="78"/>
    </row>
    <row r="2" spans="1:6" ht="15" customHeight="1" x14ac:dyDescent="0.2">
      <c r="A2" s="79" t="s">
        <v>166</v>
      </c>
      <c r="B2" s="79"/>
      <c r="C2" s="79"/>
      <c r="D2" s="79"/>
      <c r="E2" s="79"/>
      <c r="F2" s="79"/>
    </row>
    <row r="4" spans="1:6" ht="15" customHeight="1" x14ac:dyDescent="0.2">
      <c r="A4" s="77" t="s">
        <v>167</v>
      </c>
      <c r="B4" s="77"/>
      <c r="C4" s="77"/>
      <c r="D4" s="77"/>
      <c r="E4" s="77"/>
      <c r="F4" s="77"/>
    </row>
    <row r="5" spans="1:6" ht="15" customHeight="1" x14ac:dyDescent="0.2">
      <c r="A5" s="4" t="s">
        <v>168</v>
      </c>
      <c r="B5" s="4" t="s">
        <v>169</v>
      </c>
      <c r="C5" s="4" t="s">
        <v>27</v>
      </c>
      <c r="D5" s="4" t="s">
        <v>170</v>
      </c>
      <c r="E5" s="4" t="s">
        <v>171</v>
      </c>
      <c r="F5" s="4" t="s">
        <v>29</v>
      </c>
    </row>
    <row r="6" spans="1:6" ht="15" customHeight="1" x14ac:dyDescent="0.2">
      <c r="A6" s="83" t="s">
        <v>172</v>
      </c>
      <c r="B6" s="24" t="str">
        <f>AMS!A41</f>
        <v>Fondo Monetario</v>
      </c>
      <c r="C6" s="25">
        <f>AMS!B41</f>
        <v>89230.77</v>
      </c>
      <c r="D6" s="26"/>
      <c r="E6" s="27" t="s">
        <v>173</v>
      </c>
      <c r="F6" s="26"/>
    </row>
    <row r="7" spans="1:6" ht="15" customHeight="1" x14ac:dyDescent="0.2">
      <c r="A7" s="83"/>
      <c r="B7" s="24" t="str">
        <f>AMS!A44</f>
        <v>Liquidez (excluido FM)</v>
      </c>
      <c r="C7" s="25">
        <f>AMS!B44</f>
        <v>83100</v>
      </c>
      <c r="D7" s="26"/>
      <c r="E7" s="27" t="s">
        <v>174</v>
      </c>
      <c r="F7" s="26"/>
    </row>
    <row r="8" spans="1:6" ht="15" customHeight="1" x14ac:dyDescent="0.2">
      <c r="A8" s="28"/>
      <c r="B8" s="29" t="s">
        <v>175</v>
      </c>
      <c r="C8" s="30">
        <f>SUM(C6:C7)</f>
        <v>172330.77000000002</v>
      </c>
      <c r="D8" s="31">
        <f>C8/C$15</f>
        <v>0.13653475222147063</v>
      </c>
      <c r="E8" s="28"/>
      <c r="F8" s="28"/>
    </row>
    <row r="9" spans="1:6" ht="15" customHeight="1" x14ac:dyDescent="0.2">
      <c r="A9" s="1" t="s">
        <v>176</v>
      </c>
      <c r="B9" s="32" t="str">
        <f>AMS!A40</f>
        <v>SP500 (fondos indexados)</v>
      </c>
      <c r="C9" s="33">
        <f>AMS!B40</f>
        <v>878274</v>
      </c>
      <c r="D9" s="34"/>
      <c r="E9" s="35" t="s">
        <v>177</v>
      </c>
      <c r="F9" s="34"/>
    </row>
    <row r="10" spans="1:6" ht="15" customHeight="1" x14ac:dyDescent="0.2">
      <c r="A10" s="36"/>
      <c r="B10" s="37" t="s">
        <v>178</v>
      </c>
      <c r="C10" s="38">
        <f>C9</f>
        <v>878274</v>
      </c>
      <c r="D10" s="39">
        <f>C10/C$15</f>
        <v>0.6958416246417275</v>
      </c>
      <c r="E10" s="36"/>
      <c r="F10" s="36"/>
    </row>
    <row r="11" spans="1:6" ht="15" customHeight="1" x14ac:dyDescent="0.2">
      <c r="A11" s="82" t="s">
        <v>179</v>
      </c>
      <c r="B11" s="40" t="str">
        <f>AMS!A42</f>
        <v>ETF</v>
      </c>
      <c r="C11" s="41">
        <f>AMS!B42</f>
        <v>111570.37</v>
      </c>
      <c r="D11" s="42"/>
      <c r="E11" s="43" t="s">
        <v>180</v>
      </c>
      <c r="F11" s="42"/>
    </row>
    <row r="12" spans="1:6" ht="15" customHeight="1" x14ac:dyDescent="0.2">
      <c r="A12" s="82"/>
      <c r="B12" s="40" t="str">
        <f>AMS!A43</f>
        <v>Pisos</v>
      </c>
      <c r="C12" s="41">
        <f>AMS!B43</f>
        <v>100000</v>
      </c>
      <c r="D12" s="42"/>
      <c r="E12" s="43" t="s">
        <v>181</v>
      </c>
      <c r="F12" s="42"/>
    </row>
    <row r="13" spans="1:6" ht="15" customHeight="1" x14ac:dyDescent="0.2">
      <c r="A13" s="44"/>
      <c r="B13" s="45" t="s">
        <v>182</v>
      </c>
      <c r="C13" s="46">
        <f>SUM(C11:C12)</f>
        <v>211570.37</v>
      </c>
      <c r="D13" s="47">
        <f>C13/C$15</f>
        <v>0.16762362313680174</v>
      </c>
      <c r="E13" s="44"/>
      <c r="F13" s="44"/>
    </row>
    <row r="15" spans="1:6" ht="15" customHeight="1" x14ac:dyDescent="0.2">
      <c r="A15" s="80" t="s">
        <v>183</v>
      </c>
      <c r="B15" s="80"/>
      <c r="C15" s="48">
        <f>C8+C10+C13</f>
        <v>1262175.1400000001</v>
      </c>
      <c r="D15" s="49">
        <f>C15/C15</f>
        <v>1</v>
      </c>
      <c r="E15" s="50"/>
      <c r="F15" s="50"/>
    </row>
    <row r="16" spans="1:6" ht="25.5" customHeight="1" x14ac:dyDescent="0.2">
      <c r="B16" s="51" t="s">
        <v>184</v>
      </c>
      <c r="C16" s="52">
        <f>C15-AMS!B45</f>
        <v>0</v>
      </c>
      <c r="F16" s="3" t="s">
        <v>185</v>
      </c>
    </row>
    <row r="19" spans="1:6" ht="17" customHeight="1" x14ac:dyDescent="0.2">
      <c r="A19" s="77" t="s">
        <v>186</v>
      </c>
      <c r="B19" s="77"/>
      <c r="C19" s="77"/>
      <c r="D19" s="77"/>
      <c r="E19" s="77"/>
      <c r="F19" s="77"/>
    </row>
    <row r="20" spans="1:6" ht="15" customHeight="1" x14ac:dyDescent="0.2">
      <c r="A20" s="4" t="s">
        <v>168</v>
      </c>
      <c r="B20" s="4" t="s">
        <v>169</v>
      </c>
      <c r="C20" s="4" t="s">
        <v>27</v>
      </c>
      <c r="D20" s="4" t="s">
        <v>170</v>
      </c>
      <c r="E20" s="4" t="s">
        <v>171</v>
      </c>
      <c r="F20" s="4" t="s">
        <v>29</v>
      </c>
    </row>
    <row r="21" spans="1:6" ht="15" customHeight="1" x14ac:dyDescent="0.2">
      <c r="A21" s="2" t="s">
        <v>172</v>
      </c>
      <c r="B21" s="24" t="str">
        <f>AML!A43</f>
        <v>Liquidez + Depósitos (excluido FM)</v>
      </c>
      <c r="C21" s="25">
        <f>AML!B43</f>
        <v>199375</v>
      </c>
      <c r="D21" s="26"/>
      <c r="E21" s="27" t="s">
        <v>187</v>
      </c>
      <c r="F21" s="26"/>
    </row>
    <row r="22" spans="1:6" ht="15" customHeight="1" x14ac:dyDescent="0.2">
      <c r="A22" s="28"/>
      <c r="B22" s="29" t="s">
        <v>175</v>
      </c>
      <c r="C22" s="30">
        <f>C21</f>
        <v>199375</v>
      </c>
      <c r="D22" s="31">
        <f>C22/C$30</f>
        <v>4.7177726642183317E-2</v>
      </c>
      <c r="E22" s="28"/>
      <c r="F22" s="28"/>
    </row>
    <row r="23" spans="1:6" ht="25.5" customHeight="1" x14ac:dyDescent="0.2">
      <c r="A23" s="81" t="s">
        <v>176</v>
      </c>
      <c r="B23" s="32" t="str">
        <f>AML!A39</f>
        <v>Fondos RV</v>
      </c>
      <c r="C23" s="33">
        <f>AML!B39</f>
        <v>2196689</v>
      </c>
      <c r="D23" s="34"/>
      <c r="E23" s="35" t="s">
        <v>188</v>
      </c>
      <c r="F23" s="34"/>
    </row>
    <row r="24" spans="1:6" ht="45.75" customHeight="1" x14ac:dyDescent="0.2">
      <c r="A24" s="81"/>
      <c r="B24" s="32" t="str">
        <f>AML!A40</f>
        <v>Planes de Pensiones (Papá + Mamá)</v>
      </c>
      <c r="C24" s="33">
        <f>AML!B40</f>
        <v>1158832</v>
      </c>
      <c r="D24" s="34"/>
      <c r="E24" s="35" t="s">
        <v>189</v>
      </c>
      <c r="F24" s="53" t="s">
        <v>190</v>
      </c>
    </row>
    <row r="25" spans="1:6" ht="15" customHeight="1" x14ac:dyDescent="0.2">
      <c r="A25" s="36"/>
      <c r="B25" s="37" t="s">
        <v>178</v>
      </c>
      <c r="C25" s="38">
        <f>SUM(C23:C24)</f>
        <v>3355521</v>
      </c>
      <c r="D25" s="39">
        <f>C25/C$30</f>
        <v>0.79401054535476157</v>
      </c>
      <c r="E25" s="36"/>
      <c r="F25" s="36"/>
    </row>
    <row r="26" spans="1:6" ht="30" customHeight="1" x14ac:dyDescent="0.2">
      <c r="A26" s="82" t="s">
        <v>179</v>
      </c>
      <c r="B26" s="40" t="str">
        <f>AML!A41</f>
        <v>Acciones (Iberdrola + BBVA + TEF)</v>
      </c>
      <c r="C26" s="41">
        <f>AML!B41</f>
        <v>531793.35</v>
      </c>
      <c r="D26" s="42"/>
      <c r="E26" s="43" t="s">
        <v>191</v>
      </c>
      <c r="F26" s="54" t="s">
        <v>192</v>
      </c>
    </row>
    <row r="27" spans="1:6" ht="15" customHeight="1" x14ac:dyDescent="0.2">
      <c r="A27" s="82"/>
      <c r="B27" s="40" t="str">
        <f>AML!A42</f>
        <v>ETF (Aristócratas)</v>
      </c>
      <c r="C27" s="41">
        <f>AML!B42</f>
        <v>139351.5</v>
      </c>
      <c r="D27" s="42"/>
      <c r="E27" s="43" t="s">
        <v>193</v>
      </c>
      <c r="F27" s="42"/>
    </row>
    <row r="28" spans="1:6" ht="15" customHeight="1" x14ac:dyDescent="0.2">
      <c r="A28" s="44"/>
      <c r="B28" s="45" t="s">
        <v>182</v>
      </c>
      <c r="C28" s="46">
        <f>SUM(C26:C27)</f>
        <v>671144.85</v>
      </c>
      <c r="D28" s="47">
        <f>C28/C$30</f>
        <v>0.15881172800305515</v>
      </c>
      <c r="E28" s="44"/>
      <c r="F28" s="44"/>
    </row>
    <row r="30" spans="1:6" ht="15" customHeight="1" x14ac:dyDescent="0.2">
      <c r="A30" s="80" t="s">
        <v>194</v>
      </c>
      <c r="B30" s="80"/>
      <c r="C30" s="48">
        <f>C22+C25+C28</f>
        <v>4226040.8499999996</v>
      </c>
      <c r="D30" s="49">
        <f>C30/C30</f>
        <v>1</v>
      </c>
      <c r="E30" s="50"/>
      <c r="F30" s="50"/>
    </row>
    <row r="31" spans="1:6" ht="25.5" customHeight="1" x14ac:dyDescent="0.2">
      <c r="B31" s="51" t="s">
        <v>184</v>
      </c>
      <c r="C31" s="52">
        <f>C30-AML!B44</f>
        <v>0</v>
      </c>
      <c r="F31" s="3" t="s">
        <v>185</v>
      </c>
    </row>
    <row r="33" spans="1:6" ht="15" customHeight="1" x14ac:dyDescent="0.2">
      <c r="A33" s="74" t="s">
        <v>195</v>
      </c>
      <c r="B33" s="74"/>
      <c r="C33" s="74"/>
      <c r="D33" s="74"/>
      <c r="E33" s="74"/>
      <c r="F33" s="74"/>
    </row>
    <row r="34" spans="1:6" ht="15" customHeight="1" x14ac:dyDescent="0.2">
      <c r="A34" s="74"/>
      <c r="B34" s="74"/>
      <c r="C34" s="74"/>
      <c r="D34" s="74"/>
      <c r="E34" s="74"/>
      <c r="F34" s="74"/>
    </row>
    <row r="35" spans="1:6" ht="15" customHeight="1" x14ac:dyDescent="0.2">
      <c r="A35" s="74"/>
      <c r="B35" s="74"/>
      <c r="C35" s="74"/>
      <c r="D35" s="74"/>
      <c r="E35" s="74"/>
      <c r="F35" s="74"/>
    </row>
  </sheetData>
  <mergeCells count="11">
    <mergeCell ref="A1:F1"/>
    <mergeCell ref="A2:F2"/>
    <mergeCell ref="A4:F4"/>
    <mergeCell ref="A6:A7"/>
    <mergeCell ref="A11:A12"/>
    <mergeCell ref="A33:F35"/>
    <mergeCell ref="A15:B15"/>
    <mergeCell ref="A19:F19"/>
    <mergeCell ref="A23:A24"/>
    <mergeCell ref="A26:A27"/>
    <mergeCell ref="A30:B30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H34"/>
  <sheetViews>
    <sheetView tabSelected="1" topLeftCell="A3" zoomScaleNormal="100" workbookViewId="0">
      <selection activeCell="B7" sqref="B7"/>
    </sheetView>
  </sheetViews>
  <sheetFormatPr baseColWidth="10" defaultColWidth="8.6640625" defaultRowHeight="15" x14ac:dyDescent="0.2"/>
  <cols>
    <col min="1" max="1" width="42" style="23" customWidth="1"/>
    <col min="2" max="8" width="16" style="23" customWidth="1"/>
    <col min="9" max="16384" width="8.6640625" style="23"/>
  </cols>
  <sheetData>
    <row r="1" spans="1:8" ht="15.75" customHeight="1" x14ac:dyDescent="0.2">
      <c r="A1" s="78" t="s">
        <v>196</v>
      </c>
      <c r="B1" s="78"/>
      <c r="C1" s="78"/>
      <c r="D1" s="78"/>
      <c r="E1" s="78"/>
      <c r="F1" s="78"/>
      <c r="G1" s="78"/>
      <c r="H1" s="78"/>
    </row>
    <row r="2" spans="1:8" ht="15" customHeight="1" x14ac:dyDescent="0.2">
      <c r="A2" s="79" t="s">
        <v>197</v>
      </c>
      <c r="B2" s="79"/>
      <c r="C2" s="79"/>
      <c r="D2" s="79"/>
      <c r="E2" s="79"/>
      <c r="F2" s="79"/>
      <c r="G2" s="79"/>
      <c r="H2" s="79"/>
    </row>
    <row r="4" spans="1:8" ht="15" customHeight="1" x14ac:dyDescent="0.2">
      <c r="A4" s="77" t="s">
        <v>198</v>
      </c>
      <c r="B4" s="77"/>
      <c r="C4" s="77"/>
      <c r="D4" s="77"/>
      <c r="E4" s="77"/>
      <c r="F4" s="77"/>
      <c r="G4" s="77"/>
      <c r="H4" s="77"/>
    </row>
    <row r="5" spans="1:8" ht="15" customHeight="1" x14ac:dyDescent="0.2">
      <c r="A5" s="4" t="s">
        <v>26</v>
      </c>
      <c r="B5" s="4" t="s">
        <v>27</v>
      </c>
      <c r="C5" s="4" t="s">
        <v>28</v>
      </c>
      <c r="D5" s="75" t="s">
        <v>29</v>
      </c>
      <c r="E5" s="75"/>
      <c r="F5" s="75"/>
      <c r="G5" s="75"/>
      <c r="H5" s="75"/>
    </row>
    <row r="6" spans="1:8" ht="30" customHeight="1" x14ac:dyDescent="0.2">
      <c r="A6" s="55" t="s">
        <v>199</v>
      </c>
      <c r="B6" s="56">
        <v>46247</v>
      </c>
      <c r="C6" s="57" t="s">
        <v>31</v>
      </c>
      <c r="D6" s="76" t="s">
        <v>200</v>
      </c>
      <c r="E6" s="76"/>
      <c r="F6" s="76"/>
      <c r="G6" s="76"/>
      <c r="H6" s="76"/>
    </row>
    <row r="7" spans="1:8" ht="30" customHeight="1" x14ac:dyDescent="0.2">
      <c r="A7" s="55" t="s">
        <v>201</v>
      </c>
      <c r="B7" s="58">
        <v>878274</v>
      </c>
      <c r="C7" s="57" t="s">
        <v>31</v>
      </c>
      <c r="D7" s="76" t="s">
        <v>202</v>
      </c>
      <c r="E7" s="76"/>
      <c r="F7" s="76"/>
      <c r="G7" s="76"/>
      <c r="H7" s="76"/>
    </row>
    <row r="8" spans="1:8" ht="30" customHeight="1" x14ac:dyDescent="0.2">
      <c r="A8" s="55" t="s">
        <v>203</v>
      </c>
      <c r="B8" s="58">
        <v>2196689</v>
      </c>
      <c r="C8" s="57" t="s">
        <v>31</v>
      </c>
      <c r="D8" s="76" t="s">
        <v>204</v>
      </c>
      <c r="E8" s="76"/>
      <c r="F8" s="76"/>
      <c r="G8" s="76"/>
      <c r="H8" s="76"/>
    </row>
    <row r="9" spans="1:8" ht="30" customHeight="1" x14ac:dyDescent="0.2">
      <c r="A9" s="55" t="s">
        <v>205</v>
      </c>
      <c r="B9" s="58">
        <v>1158833</v>
      </c>
      <c r="C9" s="57" t="s">
        <v>31</v>
      </c>
      <c r="D9" s="76" t="s">
        <v>206</v>
      </c>
      <c r="E9" s="76"/>
      <c r="F9" s="76"/>
      <c r="G9" s="76"/>
      <c r="H9" s="76"/>
    </row>
    <row r="10" spans="1:8" ht="30" customHeight="1" x14ac:dyDescent="0.2">
      <c r="A10" s="59" t="s">
        <v>207</v>
      </c>
      <c r="B10" s="60">
        <f>B8+B9</f>
        <v>3355522</v>
      </c>
      <c r="C10" s="57" t="s">
        <v>36</v>
      </c>
      <c r="D10" s="76" t="s">
        <v>208</v>
      </c>
      <c r="E10" s="76"/>
      <c r="F10" s="76"/>
      <c r="G10" s="76"/>
      <c r="H10" s="76"/>
    </row>
    <row r="12" spans="1:8" ht="24.75" customHeight="1" x14ac:dyDescent="0.2">
      <c r="A12" s="77" t="s">
        <v>209</v>
      </c>
      <c r="B12" s="77"/>
      <c r="C12" s="77"/>
      <c r="D12" s="77"/>
      <c r="E12" s="77"/>
      <c r="F12" s="77"/>
      <c r="G12" s="77"/>
      <c r="H12" s="77"/>
    </row>
    <row r="13" spans="1:8" ht="15" customHeight="1" x14ac:dyDescent="0.2">
      <c r="A13" s="4" t="s">
        <v>26</v>
      </c>
      <c r="B13" s="4" t="s">
        <v>27</v>
      </c>
      <c r="C13" s="4" t="s">
        <v>28</v>
      </c>
      <c r="D13" s="75" t="s">
        <v>29</v>
      </c>
      <c r="E13" s="75"/>
      <c r="F13" s="75"/>
      <c r="G13" s="75"/>
      <c r="H13" s="75"/>
    </row>
    <row r="14" spans="1:8" ht="42" customHeight="1" x14ac:dyDescent="0.2">
      <c r="A14" s="55" t="s">
        <v>210</v>
      </c>
      <c r="B14" s="61">
        <v>7.0000000000000007E-2</v>
      </c>
      <c r="C14" s="57" t="s">
        <v>31</v>
      </c>
      <c r="D14" s="76" t="s">
        <v>211</v>
      </c>
      <c r="E14" s="76"/>
      <c r="F14" s="76"/>
      <c r="G14" s="76"/>
      <c r="H14" s="76"/>
    </row>
    <row r="15" spans="1:8" ht="42" customHeight="1" x14ac:dyDescent="0.2">
      <c r="A15" s="55" t="s">
        <v>212</v>
      </c>
      <c r="B15" s="61">
        <v>9.4E-2</v>
      </c>
      <c r="C15" s="57" t="s">
        <v>31</v>
      </c>
      <c r="D15" s="76" t="s">
        <v>213</v>
      </c>
      <c r="E15" s="76"/>
      <c r="F15" s="76"/>
      <c r="G15" s="76"/>
      <c r="H15" s="76"/>
    </row>
    <row r="17" spans="1:8" ht="24.75" customHeight="1" x14ac:dyDescent="0.2">
      <c r="A17" s="77" t="s">
        <v>214</v>
      </c>
      <c r="B17" s="77"/>
      <c r="C17" s="77"/>
      <c r="D17" s="77"/>
      <c r="E17" s="77"/>
      <c r="F17" s="77"/>
      <c r="G17" s="77"/>
      <c r="H17" s="77"/>
    </row>
    <row r="18" spans="1:8" ht="24.75" customHeight="1" x14ac:dyDescent="0.2">
      <c r="A18" s="4" t="s">
        <v>215</v>
      </c>
      <c r="B18" s="4" t="s">
        <v>216</v>
      </c>
      <c r="C18" s="4" t="s">
        <v>217</v>
      </c>
      <c r="D18" s="62" t="s">
        <v>218</v>
      </c>
      <c r="E18" s="63" t="s">
        <v>219</v>
      </c>
      <c r="F18" s="4" t="s">
        <v>220</v>
      </c>
      <c r="G18" s="4"/>
      <c r="H18" s="4"/>
    </row>
    <row r="19" spans="1:8" ht="24.75" customHeight="1" x14ac:dyDescent="0.2">
      <c r="A19" s="64" t="s">
        <v>221</v>
      </c>
      <c r="B19" s="65">
        <f>DATE(YEAR($B$6)+5,MONTH($B$6),DAY($B$6))</f>
        <v>48073</v>
      </c>
      <c r="C19" s="33">
        <f>$B$7*(1+$B$14)^5</f>
        <v>1231824.7187288119</v>
      </c>
      <c r="D19" s="66">
        <f>$B$7*(1+$B$15)^5</f>
        <v>1376311.1754044218</v>
      </c>
      <c r="E19" s="67">
        <f>$B$10*(1+$B$14)^5</f>
        <v>4706293.1885019261</v>
      </c>
      <c r="F19" s="33">
        <f>$B$10*(1+$B$15)^5</f>
        <v>5258316.2292352915</v>
      </c>
    </row>
    <row r="20" spans="1:8" ht="24.75" customHeight="1" x14ac:dyDescent="0.2">
      <c r="A20" s="64" t="s">
        <v>222</v>
      </c>
      <c r="B20" s="65">
        <f>DATE(YEAR($B$6)+10,MONTH($B$6),DAY($B$6))</f>
        <v>49900</v>
      </c>
      <c r="C20" s="33">
        <f>$B$7*(1+$B$14)^10</f>
        <v>1727697.8911721359</v>
      </c>
      <c r="D20" s="66">
        <f>$B$7*(1+$B$15)^10</f>
        <v>2156767.0812788503</v>
      </c>
      <c r="E20" s="67">
        <f>$B$10*(1+$B$14)^10</f>
        <v>6600819.6567149973</v>
      </c>
      <c r="F20" s="33">
        <f>$B$10*(1+$B$15)^10</f>
        <v>8240115.7157185227</v>
      </c>
    </row>
    <row r="21" spans="1:8" ht="24.75" customHeight="1" x14ac:dyDescent="0.2">
      <c r="A21" s="64" t="s">
        <v>223</v>
      </c>
      <c r="B21" s="65">
        <f>DATE(YEAR($B$6)+15,MONTH($B$6),DAY($B$6))</f>
        <v>51726</v>
      </c>
      <c r="C21" s="33">
        <f>$B$7*(1+$B$14)^15</f>
        <v>2423185.6673902199</v>
      </c>
      <c r="D21" s="66">
        <f>$B$7*(1+$B$15)^15</f>
        <v>3379791.0865042778</v>
      </c>
      <c r="E21" s="67">
        <f>$B$10*(1+$B$14)^15</f>
        <v>9257991.0335642006</v>
      </c>
      <c r="F21" s="33">
        <f>$B$10*(1+$B$15)^15</f>
        <v>12912785.014891718</v>
      </c>
    </row>
    <row r="23" spans="1:8" ht="24.75" customHeight="1" x14ac:dyDescent="0.2">
      <c r="A23" s="77" t="s">
        <v>224</v>
      </c>
      <c r="B23" s="77"/>
      <c r="C23" s="77"/>
      <c r="D23" s="77"/>
      <c r="E23" s="77"/>
      <c r="F23" s="77"/>
      <c r="G23" s="77"/>
      <c r="H23" s="77"/>
    </row>
    <row r="24" spans="1:8" ht="15" customHeight="1" x14ac:dyDescent="0.2">
      <c r="A24" s="4" t="s">
        <v>225</v>
      </c>
      <c r="B24" s="4" t="s">
        <v>226</v>
      </c>
      <c r="C24" s="4" t="s">
        <v>227</v>
      </c>
      <c r="D24" s="4" t="s">
        <v>228</v>
      </c>
      <c r="E24" s="62" t="s">
        <v>229</v>
      </c>
      <c r="F24" s="63" t="s">
        <v>230</v>
      </c>
      <c r="G24" s="4" t="s">
        <v>231</v>
      </c>
      <c r="H24" s="4" t="s">
        <v>232</v>
      </c>
    </row>
    <row r="25" spans="1:8" ht="15" customHeight="1" x14ac:dyDescent="0.2">
      <c r="A25" s="68"/>
      <c r="B25" s="69" t="str">
        <f t="shared" ref="B25:B30" si="0">IF($A25="","",($A25-$B$6)/365.25)</f>
        <v/>
      </c>
      <c r="C25" s="58"/>
      <c r="D25" s="70" t="str">
        <f>IF($A25="","",$B$7*(1+$B$15)^$B25)</f>
        <v/>
      </c>
      <c r="E25" s="71" t="str">
        <f t="shared" ref="E25:E30" si="1">IF(OR($A25="",$C25=""),"",$C25-$D25)</f>
        <v/>
      </c>
      <c r="F25" s="72"/>
      <c r="G25" s="70" t="str">
        <f>IF($A25="","",$B$10*(1+$B$15)^$B25)</f>
        <v/>
      </c>
      <c r="H25" s="73" t="str">
        <f t="shared" ref="H25:H30" si="2">IF(OR($A25="",$F25=""),"",$F25-$G25)</f>
        <v/>
      </c>
    </row>
    <row r="26" spans="1:8" ht="15" customHeight="1" x14ac:dyDescent="0.2">
      <c r="A26" s="68"/>
      <c r="B26" s="69" t="str">
        <f t="shared" si="0"/>
        <v/>
      </c>
      <c r="C26" s="58"/>
      <c r="D26" s="70" t="str">
        <f t="shared" ref="D26:D30" si="3">IF($A26="","",$B$7*(1+$B$15)^$B26)</f>
        <v/>
      </c>
      <c r="E26" s="71" t="str">
        <f t="shared" si="1"/>
        <v/>
      </c>
      <c r="F26" s="72"/>
      <c r="G26" s="70" t="str">
        <f t="shared" ref="G26:G30" si="4">IF($A26="","",$B$10*(1+$B$15)^$B26)</f>
        <v/>
      </c>
      <c r="H26" s="73" t="str">
        <f t="shared" si="2"/>
        <v/>
      </c>
    </row>
    <row r="27" spans="1:8" ht="15" customHeight="1" x14ac:dyDescent="0.2">
      <c r="A27" s="68"/>
      <c r="B27" s="69" t="str">
        <f t="shared" si="0"/>
        <v/>
      </c>
      <c r="C27" s="58"/>
      <c r="D27" s="70" t="str">
        <f t="shared" si="3"/>
        <v/>
      </c>
      <c r="E27" s="71" t="str">
        <f t="shared" si="1"/>
        <v/>
      </c>
      <c r="F27" s="72"/>
      <c r="G27" s="70" t="str">
        <f t="shared" si="4"/>
        <v/>
      </c>
      <c r="H27" s="73" t="str">
        <f t="shared" si="2"/>
        <v/>
      </c>
    </row>
    <row r="28" spans="1:8" ht="15" customHeight="1" x14ac:dyDescent="0.2">
      <c r="A28" s="68"/>
      <c r="B28" s="69" t="str">
        <f t="shared" si="0"/>
        <v/>
      </c>
      <c r="C28" s="58"/>
      <c r="D28" s="70" t="str">
        <f t="shared" si="3"/>
        <v/>
      </c>
      <c r="E28" s="71" t="str">
        <f t="shared" si="1"/>
        <v/>
      </c>
      <c r="F28" s="72"/>
      <c r="G28" s="70" t="str">
        <f t="shared" si="4"/>
        <v/>
      </c>
      <c r="H28" s="73" t="str">
        <f t="shared" si="2"/>
        <v/>
      </c>
    </row>
    <row r="29" spans="1:8" ht="15" customHeight="1" x14ac:dyDescent="0.2">
      <c r="A29" s="68"/>
      <c r="B29" s="69" t="str">
        <f t="shared" si="0"/>
        <v/>
      </c>
      <c r="C29" s="58"/>
      <c r="D29" s="70" t="str">
        <f t="shared" si="3"/>
        <v/>
      </c>
      <c r="E29" s="71" t="str">
        <f t="shared" si="1"/>
        <v/>
      </c>
      <c r="F29" s="72"/>
      <c r="G29" s="70" t="str">
        <f t="shared" si="4"/>
        <v/>
      </c>
      <c r="H29" s="73" t="str">
        <f t="shared" si="2"/>
        <v/>
      </c>
    </row>
    <row r="30" spans="1:8" ht="15" customHeight="1" x14ac:dyDescent="0.2">
      <c r="A30" s="68"/>
      <c r="B30" s="69" t="str">
        <f t="shared" si="0"/>
        <v/>
      </c>
      <c r="C30" s="58"/>
      <c r="D30" s="70" t="str">
        <f t="shared" si="3"/>
        <v/>
      </c>
      <c r="E30" s="71" t="str">
        <f t="shared" si="1"/>
        <v/>
      </c>
      <c r="F30" s="72"/>
      <c r="G30" s="70" t="str">
        <f t="shared" si="4"/>
        <v/>
      </c>
      <c r="H30" s="73" t="str">
        <f t="shared" si="2"/>
        <v/>
      </c>
    </row>
    <row r="32" spans="1:8" ht="15" customHeight="1" x14ac:dyDescent="0.2">
      <c r="A32" s="74" t="s">
        <v>233</v>
      </c>
      <c r="B32" s="74"/>
      <c r="C32" s="74"/>
      <c r="D32" s="74"/>
      <c r="E32" s="74"/>
      <c r="F32" s="74"/>
      <c r="G32" s="74"/>
      <c r="H32" s="74"/>
    </row>
    <row r="33" spans="1:8" ht="15" customHeight="1" x14ac:dyDescent="0.2">
      <c r="A33" s="74"/>
      <c r="B33" s="74"/>
      <c r="C33" s="74"/>
      <c r="D33" s="74"/>
      <c r="E33" s="74"/>
      <c r="F33" s="74"/>
      <c r="G33" s="74"/>
      <c r="H33" s="74"/>
    </row>
    <row r="34" spans="1:8" ht="15" customHeight="1" x14ac:dyDescent="0.2">
      <c r="A34" s="74"/>
      <c r="B34" s="74"/>
      <c r="C34" s="74"/>
      <c r="D34" s="74"/>
      <c r="E34" s="74"/>
      <c r="F34" s="74"/>
      <c r="G34" s="74"/>
      <c r="H34" s="74"/>
    </row>
  </sheetData>
  <mergeCells count="16">
    <mergeCell ref="A1:H1"/>
    <mergeCell ref="A2:H2"/>
    <mergeCell ref="A4:H4"/>
    <mergeCell ref="D5:H5"/>
    <mergeCell ref="D6:H6"/>
    <mergeCell ref="D7:H7"/>
    <mergeCell ref="D8:H8"/>
    <mergeCell ref="D9:H9"/>
    <mergeCell ref="D10:H10"/>
    <mergeCell ref="A12:H12"/>
    <mergeCell ref="A32:H34"/>
    <mergeCell ref="D13:H13"/>
    <mergeCell ref="D14:H14"/>
    <mergeCell ref="D15:H15"/>
    <mergeCell ref="A17:H17"/>
    <mergeCell ref="A23:H23"/>
  </mergeCells>
  <pageMargins left="0.75" right="0.75" top="1" bottom="1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Notas</vt:lpstr>
      <vt:lpstr>AMS</vt:lpstr>
      <vt:lpstr>AML</vt:lpstr>
      <vt:lpstr>Cajas</vt:lpstr>
      <vt:lpstr>Proyecciones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armando manzanos luna</cp:lastModifiedBy>
  <cp:revision>0</cp:revision>
  <dcterms:created xsi:type="dcterms:W3CDTF">2026-08-10T09:29:13Z</dcterms:created>
  <dcterms:modified xsi:type="dcterms:W3CDTF">2026-08-14T09:45:24Z</dcterms:modified>
  <dc:language>en-US</dc:language>
</cp:coreProperties>
</file>
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otas" sheetId="1" state="visible" r:id="rId3"/>
    <sheet name="AMS" sheetId="2" state="visible" r:id="rId4"/>
    <sheet name="AML" sheetId="3" state="visible" r:id="rId5"/>
    <sheet name="Cajas" sheetId="4" state="visible" r:id="rId6"/>
    <sheet name="Proyecci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<sst xmlns="http://schemas.openxmlformats.org/spreadsheetml/2006/main" count="464" uniqueCount="238">
  <si>
    <t xml:space="preserve">PERSONAL CAPACITY FACTS — Notas de uso</t>
  </si>
  <si>
    <t xml:space="preserve">Propósito</t>
  </si>
  <si>
    <t xml:space="preserve">Insumo manual/semi-automático para el Personal Capacity Facts Gate (RE-032.3/RE-032.5) del SOP Research Engine. No sustituye al gate — alimenta el futuro adaptador que traduzca estas cifras a LocalPersonalCapacityFactsInputs.</t>
  </si>
  <si>
    <t xml:space="preserve">Código de color</t>
  </si>
  <si>
    <t xml:space="preserve">Azul</t>
  </si>
  <si>
    <t xml:space="preserve">Valor manual — actualizar cuando cambie la situación real</t>
  </si>
  <si>
    <t xml:space="preserve">Negro</t>
  </si>
  <si>
    <t xml:space="preserve">Fórmula derivada — no editar directamente</t>
  </si>
  <si>
    <t xml:space="preserve">Concepto: colchón vs. pólvora seca (suelo/techo)</t>
  </si>
  <si>
    <t xml:space="preserve">•</t>
  </si>
  <si>
    <t xml:space="preserve">Colchón: mínimo intocable, cubre necesidades básicas. Nunca se despliega.</t>
  </si>
  <si>
    <t xml:space="preserve">Pólvora seca — techo: por encima, hay efectivo ocioso que debería estar invertido (coste de oportunidad).</t>
  </si>
  <si>
    <t xml:space="preserve">Pólvora seca — suelo: munición mínima para aprovechar una oportunidad (ej. una caída de mercado) con el Dry Powder Protocol (RE-041.1). Por debajo, no hay peligro (el colchón sigue intacto) pero sí capacidad reducida de actuar cuando toca.</t>
  </si>
  <si>
    <t xml:space="preserve">Cadencia de actualización</t>
  </si>
  <si>
    <t xml:space="preserve">Actualizar cuando cambien ingresos, gastos, umbrales, deudas o vencimientos. Además, el último día de cada mes se realiza un cierre de estado: solo se registra si la fuente de cartera está actualizada; si no, queda pendiente.</t>
  </si>
  <si>
    <t xml:space="preserve">Fecha de valoración de origen</t>
  </si>
  <si>
    <t xml:space="preserve">Fechas de valoración vigentes: AMS actualizado desde su fichero de cartera a 2026-10-24; AML conserva su última actualización registrada a 2026-10-05.</t>
  </si>
  <si>
    <t xml:space="preserve">Abiertos / pendientes de decisión</t>
  </si>
  <si>
    <t xml:space="preserve">AMS: techo de liquidez total fijado en 150.000€ (redondeo de 30.000 colchón + 125.000 pólvora óptima = 155.000€ exacto). Se asume pólvora óptima techo = 120.000€ para cuadrar el redondeo — confirmar si se prefiere mantener colchón exacto en 30.000€ o ajustar de otro modo.</t>
  </si>
  <si>
    <t xml:space="preserve">AMS: concentración de ingresos valorada como adecuada y confirmada el 2026-10-25 (40% alquileres, 40% dividendos ETF y 20% otros).</t>
  </si>
  <si>
    <t xml:space="preserve">AML: Fondo Monetario aún no operativo — se nutrirá de los depósitos a plazo al vencer (Pibank 26.08.26, Myinvestor 29.09.26). Actualizar esta hoja cuando eso ocurra.</t>
  </si>
  <si>
    <t xml:space="preserve">AML: pólvora seca actual (74.375€) está por debajo del suelo objetivo (125.000€) — déficit de 50.625€ a recargar. Confirmado por Armando el 2026-08-10, sin plan de recarga definido aún.</t>
  </si>
  <si>
    <t xml:space="preserve">Ambos: 'obligaciones fijas manejables' se deriva directamente de gasto anual vs. ingresos recurrentes — no es un input independiente.</t>
  </si>
  <si>
    <t xml:space="preserve">Ambos: servicio de deuda fijado en 'manejable' de forma permanente — sin deuda, sin previsión. Revisar solo si esto cambia.</t>
  </si>
  <si>
    <t xml:space="preserve">AMS: prevista una compra adicional de S&amp;P 500 durante la semana del 2026-10-26 mediante traspaso desde el Fondo Monetario. No contabilizar hasta que la operación aparezca ejecutada en el fichero de cartera; entonces bajará FM y subirá S&amp;P por el mismo importe, sin alterar el patrimonio total.</t>
  </si>
  <si>
    <t xml:space="preserve">Proyecciones: nueva fecha de ancla 31/12/2026. Ese cierre fijará los saldos congelados; el seguimiento comparativo mensual empieza el 31/01/2027.</t>
  </si>
  <si>
    <t xml:space="preserve">PERSONAL CAPACITY FACTS — AMS (patrimonio propio)</t>
  </si>
  <si>
    <t xml:space="preserve">1. LIQUIDEZ Y PÓLVORA SECA</t>
  </si>
  <si>
    <t xml:space="preserve">Concepto</t>
  </si>
  <si>
    <t xml:space="preserve">Valor</t>
  </si>
  <si>
    <t xml:space="preserve">Fuente</t>
  </si>
  <si>
    <t xml:space="preserve">Nota</t>
  </si>
  <si>
    <t xml:space="preserve">Gasto anual estimado</t>
  </si>
  <si>
    <t xml:space="preserve">Manual</t>
  </si>
  <si>
    <t xml:space="preserve">Estimación Armando</t>
  </si>
  <si>
    <t xml:space="preserve">Ingresos recurrentes anuales</t>
  </si>
  <si>
    <t xml:space="preserve">Fórmula (vinculado a Bloque 3)</t>
  </si>
  <si>
    <t xml:space="preserve">Vinculado a Bloque 3 (fila 32) = Alquileres + Dividendos ETF (JGPI) + Otros. Antes era un valor manual duplicado; ahora un único punto de verdad -- cambiar el desglose en Bloque 3 actualiza esto automáticamente.</t>
  </si>
  <si>
    <t xml:space="preserve">Gap anual (déficit)</t>
  </si>
  <si>
    <t xml:space="preserve">Fórmula</t>
  </si>
  <si>
    <t xml:space="preserve">Negativo = déficit que la cartera debe poder cubrir</t>
  </si>
  <si>
    <t xml:space="preserve">Objetivo declarado</t>
  </si>
  <si>
    <t xml:space="preserve">Cerrar el gap con ingresos pasivos recurrentes</t>
  </si>
  <si>
    <t xml:space="preserve">Confirmado 2026-08-10 -- históricamente cubierto de sobra con ingresos de consultoría (variables, no 'ciertos y conocidos', por eso excluidos de 'Ingresos recurrentes anuales'), pero el objetivo es cerrar los 7.000€/año con fuentes pasivas predecibles, no seguir dependiendo de la consultoría. Contexto, no una de las nueve categorías del gate.</t>
  </si>
  <si>
    <t xml:space="preserve">Colchón de seguridad mínimo (intocable)</t>
  </si>
  <si>
    <t xml:space="preserve">~4 años del gap anual (7.000€/año)</t>
  </si>
  <si>
    <t xml:space="preserve">Pólvora seca óptima — suelo</t>
  </si>
  <si>
    <t xml:space="preserve">Fijado por coherencia con el modelo de dos capas de AML</t>
  </si>
  <si>
    <t xml:space="preserve">Pólvora seca óptima — techo</t>
  </si>
  <si>
    <t xml:space="preserve">Ajustado para cuadrar el techo total redondeado en 150.000€ (ver nota arriba)</t>
  </si>
  <si>
    <t xml:space="preserve">Suelo de liquidez total (mínimo óptimo)</t>
  </si>
  <si>
    <t xml:space="preserve">Techo de liquidez total (máximo óptimo)</t>
  </si>
  <si>
    <t xml:space="preserve">Liquidez actual — cuenta</t>
  </si>
  <si>
    <t xml:space="preserve">Automático (cartera AMS, hoja '01. Resumen')</t>
  </si>
  <si>
    <t xml:space="preserve">VALOR LIQUIDEZ</t>
  </si>
  <si>
    <t xml:space="preserve">Liquidez actual — Fondo Monetario</t>
  </si>
  <si>
    <t xml:space="preserve">VALOR FM</t>
  </si>
  <si>
    <t xml:space="preserve">Liquidez total actual</t>
  </si>
  <si>
    <t xml:space="preserve">Pólvora seca actual</t>
  </si>
  <si>
    <t xml:space="preserve">Exceso/(Déficit) vs. suelo de liquidez</t>
  </si>
  <si>
    <t xml:space="preserve">Exceso/(Déficit) vs. techo de liquidez</t>
  </si>
  <si>
    <t xml:space="preserve">Positivo = liquidez ociosa por encima del objetivo</t>
  </si>
  <si>
    <t xml:space="preserve">Exceso/(Déficit) vs. pólvora óptima (suelo)</t>
  </si>
  <si>
    <t xml:space="preserve">Exceso/(Déficit) vs. pólvora óptima (techo)</t>
  </si>
  <si>
    <t xml:space="preserve">2. DEUDA</t>
  </si>
  <si>
    <t xml:space="preserve">Servicio de deuda manejable</t>
  </si>
  <si>
    <t xml:space="preserve">Sí (fijo)</t>
  </si>
  <si>
    <t xml:space="preserve">Manual / fijo</t>
  </si>
  <si>
    <t xml:space="preserve">Sin deuda, sin previsión de contraerla</t>
  </si>
  <si>
    <t xml:space="preserve">3. CONCENTRACIÓN DE INGRESOS</t>
  </si>
  <si>
    <t xml:space="preserve">Alquileres</t>
  </si>
  <si>
    <t xml:space="preserve">Dividendos ETF (JGPI)</t>
  </si>
  <si>
    <t xml:space="preserve">Otros</t>
  </si>
  <si>
    <t xml:space="preserve">Total ingresos recurrentes</t>
  </si>
  <si>
    <t xml:space="preserve">% Alquileres</t>
  </si>
  <si>
    <t xml:space="preserve">% Dividendos ETF</t>
  </si>
  <si>
    <t xml:space="preserve">% Otros</t>
  </si>
  <si>
    <t xml:space="preserve">Valoración cualitativa (concentración de ingresos)</t>
  </si>
  <si>
    <t xml:space="preserve">Adecuado</t>
  </si>
  <si>
    <t xml:space="preserve">Confirmado 2026-10-25 — alquileres 40%, dividendos ETF 40% y otros 20%; ninguna fuente domina. El objetivo sigue siendo cerrar el déficit anual con ingresos pasivos recurrentes.</t>
  </si>
  <si>
    <t xml:space="preserve">4. CONCENTRACIÓN DE CARTERA</t>
  </si>
  <si>
    <t xml:space="preserve">SP500 (fondos indexados)</t>
  </si>
  <si>
    <t xml:space="preserve">Fondo Monetario</t>
  </si>
  <si>
    <t xml:space="preserve">ETF</t>
  </si>
  <si>
    <t xml:space="preserve">Pisos</t>
  </si>
  <si>
    <t xml:space="preserve">Liquidez (excluido FM)</t>
  </si>
  <si>
    <t xml:space="preserve">No confundir con 'Liquidez total actual' de la sección 1, que sí incluye el Fondo Monetario; aquí el FM figura aparte como clase de activo propia.</t>
  </si>
  <si>
    <t xml:space="preserve">Total patrimonio</t>
  </si>
  <si>
    <t xml:space="preserve">% SP500</t>
  </si>
  <si>
    <t xml:space="preserve">% Fondo Monetario</t>
  </si>
  <si>
    <t xml:space="preserve">% ETF</t>
  </si>
  <si>
    <t xml:space="preserve">% Pisos</t>
  </si>
  <si>
    <t xml:space="preserve">% Liquidez (excl. FM)</t>
  </si>
  <si>
    <t xml:space="preserve">Valoración cualitativa (concentración de cartera)</t>
  </si>
  <si>
    <t xml:space="preserve">Confirmado por Armando 2026-08-10 -- 69,5% en un único índice (SP500) considerado concentración aceptable dado que es un índice diversificado de 500 compañías, no una apuesta individual</t>
  </si>
  <si>
    <t xml:space="preserve">5. RESTRICCIONES DE HORIZONTE CONOCIDO</t>
  </si>
  <si>
    <t xml:space="preserve">Depósitos a plazo</t>
  </si>
  <si>
    <t xml:space="preserve">Ninguno</t>
  </si>
  <si>
    <t xml:space="preserve">Confirmado — solo liquidez y Fondo Monetario, sin vencimientos</t>
  </si>
  <si>
    <t xml:space="preserve">Próximo evento con necesidad de liquidez conocida</t>
  </si>
  <si>
    <t xml:space="preserve">Ninguno conocido</t>
  </si>
  <si>
    <t xml:space="preserve">Confirmado 2026-08-10</t>
  </si>
  <si>
    <t xml:space="preserve">6. RESTRICCIONES FISCALES / OPERATIVAS</t>
  </si>
  <si>
    <t xml:space="preserve">Minusvalía pendiente de compensar (TEF)</t>
  </si>
  <si>
    <t xml:space="preserve">Venta 2026. Crédito fiscal favorable, no una restricción -- 4 años para compensar vía plusvalías (confirmado por Armando 2026-08-10); si no se generan plusvalías suficientes en ese plazo, el crédito caduca sin usarse</t>
  </si>
  <si>
    <t xml:space="preserve">Restricciones fiscales pendientes</t>
  </si>
  <si>
    <t xml:space="preserve">Ninguna conocida</t>
  </si>
  <si>
    <t xml:space="preserve">Confirmado 2026-08-10 -- la minusvalía de arriba es la única cuestión fiscal conocida, y es favorable, no restrictiva</t>
  </si>
  <si>
    <t xml:space="preserve">PERSONAL CAPACITY FACTS — AML (patrimonio de tus padres)</t>
  </si>
  <si>
    <t xml:space="preserve">Rango 30.000-35.000€, punto medio usado</t>
  </si>
  <si>
    <t xml:space="preserve">Vinculado a Bloque 3 (fila 32) = Pensiones públicas + Dividendos. Antes era un valor manual duplicado; ahora un único punto de verdad -- cambiar el desglose en Bloque 3 actualiza esto automáticamente.</t>
  </si>
  <si>
    <t xml:space="preserve">Superávit anual</t>
  </si>
  <si>
    <t xml:space="preserve">Positivo = no necesitan tocar la cartera para vivir</t>
  </si>
  <si>
    <t xml:space="preserve">Nunca por debajo de esta cifra</t>
  </si>
  <si>
    <t xml:space="preserve">Confirmado: 125.000+175.000=300.000€, cuadra con la cifra original</t>
  </si>
  <si>
    <t xml:space="preserve">Automático (cartera AML, hoja '01a. Resumen AML')</t>
  </si>
  <si>
    <t xml:space="preserve">Liquidez actual — Depósito Myinvestor (3,1% TAE)</t>
  </si>
  <si>
    <t xml:space="preserve">Vence 05.10.27</t>
  </si>
  <si>
    <t xml:space="preserve">Liquidez actual — Depósito Pibank (2% TAE)</t>
  </si>
  <si>
    <t xml:space="preserve">Depósito liberado 2026-08-26 -- reinvertido en Fondo Monetario (ver fila 16). Importe histórico: 85.000€</t>
  </si>
  <si>
    <t xml:space="preserve">Nutrido 2026-08-26 con el depósito Pibank liberado (85.000€)</t>
  </si>
  <si>
    <t xml:space="preserve">Negativo = hoy tienen menos pólvora seca que el objetivo mínimo — recargar hasta cubrir este déficit</t>
  </si>
  <si>
    <t xml:space="preserve">Pensiones públicas (netas)</t>
  </si>
  <si>
    <t xml:space="preserve">30.000€ neto c/u</t>
  </si>
  <si>
    <t xml:space="preserve">Dividendos (netos)</t>
  </si>
  <si>
    <t xml:space="preserve">% Pensiones</t>
  </si>
  <si>
    <t xml:space="preserve">% Dividendos</t>
  </si>
  <si>
    <t xml:space="preserve">Fuente dominante (pensión pública) es la más estable posible; ingreso total muy por encima del gasto</t>
  </si>
  <si>
    <t xml:space="preserve">Fondos RV</t>
  </si>
  <si>
    <t xml:space="preserve">Planes de Pensiones (Papá + Mamá)</t>
  </si>
  <si>
    <t xml:space="preserve">Excluidos de liquidez/pólvora seca — ver sección 6</t>
  </si>
  <si>
    <t xml:space="preserve">Acciones (Iberdrola + BBVA + TEF)</t>
  </si>
  <si>
    <t xml:space="preserve">ETF (Aristócratas)</t>
  </si>
  <si>
    <t xml:space="preserve">Liquidez + Depósitos + FM</t>
  </si>
  <si>
    <t xml:space="preserve">Fórmula (vinculado a Bloque 1, fila 17)</t>
  </si>
  <si>
    <t xml:space="preserve">Vinculado a Liquidez total actual (Bloque 1, fila 17) = cuenta + depósitos + Fondo Monetario. Antes era un valor manual fijo que excluía el FM y solo cuadraba por coincidencia mientras el FM estaba a 0€; ahora que el FM tiene 85.000€, el vínculo evita perder ese importe del Total patrimonio.</t>
  </si>
  <si>
    <t xml:space="preserve">% Fondos RV</t>
  </si>
  <si>
    <t xml:space="preserve">% Planes de Pensiones</t>
  </si>
  <si>
    <t xml:space="preserve">% Acciones</t>
  </si>
  <si>
    <t xml:space="preserve">% Liquidez + Depósitos + FM</t>
  </si>
  <si>
    <t xml:space="preserve">Concentración dentro de Acciones</t>
  </si>
  <si>
    <t xml:space="preserve">Iberdrola</t>
  </si>
  <si>
    <t xml:space="preserve">BBVA</t>
  </si>
  <si>
    <t xml:space="preserve">TEF</t>
  </si>
  <si>
    <t xml:space="preserve">% Iberdrola</t>
  </si>
  <si>
    <t xml:space="preserve">% BBVA</t>
  </si>
  <si>
    <t xml:space="preserve">% TEF</t>
  </si>
  <si>
    <t xml:space="preserve">Concentración dentro de Planes de Pensiones</t>
  </si>
  <si>
    <t xml:space="preserve">Papá</t>
  </si>
  <si>
    <t xml:space="preserve">Mamá</t>
  </si>
  <si>
    <t xml:space="preserve">% Papá</t>
  </si>
  <si>
    <t xml:space="preserve">% Mamá</t>
  </si>
  <si>
    <t xml:space="preserve">Confirmado 2026-08-10 -- foco en USA/SP500 es la tesis de partida del SOP, no un riesgo a corregir. Verificado en '02. Fondos Myinvestor': Vanguard US500 87,2% + Fidelity S&amp;P500 0,4% (mismo índice, dos proveedores) + iShares Developed World 4,0%. Iberdrola 66% de la sub-cartera de Acciones mas solo 8,4% del patrimonio total, con función de renta vía dividendos, no de crecimiento</t>
  </si>
  <si>
    <t xml:space="preserve">Depósito Myinvestor — vencimiento</t>
  </si>
  <si>
    <t xml:space="preserve">29/09/2026</t>
  </si>
  <si>
    <t xml:space="preserve">Automático (cartera AML)</t>
  </si>
  <si>
    <t xml:space="preserve">60.000€, 2% TAE</t>
  </si>
  <si>
    <t xml:space="preserve">  días restantes</t>
  </si>
  <si>
    <t xml:space="preserve">Depósito Pibank — vencimiento</t>
  </si>
  <si>
    <t xml:space="preserve">26/08/2026</t>
  </si>
  <si>
    <t xml:space="preserve">85.000€, 2% TAE</t>
  </si>
  <si>
    <t xml:space="preserve">Vencido y liquidado</t>
  </si>
  <si>
    <t xml:space="preserve">Depósito liquidado el 26/08/2026 y reinvertido en Fondo Monetario -- ya no es un evento pendiente</t>
  </si>
  <si>
    <t xml:space="preserve">Confirmado 2026-08-10. Los vencimientos de depósitos de arriba son liquidez entrante, no una necesidad de gasto -- no cuentan aquí.</t>
  </si>
  <si>
    <t xml:space="preserve">Planes de Pensiones — excluidos permanentemente</t>
  </si>
  <si>
    <t xml:space="preserve">Legalmente ilíquidos salvo jubilación/paro larga duración/enfermedad grave. Rescate tributa como rendimiento del trabajo — sumado a las pensiones, marginal cercano al 50%. No se van a tocar: destino, herencia para Armando y su hermana. No cuentan como pólvora seca ni liquidez bajo ningún escenario operativo.</t>
  </si>
  <si>
    <t xml:space="preserve">Manual (confirmado por Armando 2026-08-10)</t>
  </si>
  <si>
    <t xml:space="preserve">Crédito fiscal favorable, no una restricción -- 4 años para compensar vía plusvalías; si no se generan plusvalías suficientes en ese plazo, el crédito caduca sin usarse</t>
  </si>
  <si>
    <t xml:space="preserve">Confirmado 2026-08-10 -- la exclusión de Planes de Pensiones y la minusvalía TEF de arriba son las únicas cuestiones fiscales conocidas; ninguna de las dos es una restricción activa</t>
  </si>
  <si>
    <t xml:space="preserve">CLASIFICACIÓN EN LAS TRES CAJAS</t>
  </si>
  <si>
    <t xml:space="preserve">Nivel 3, CONSTITUTION.md Sección 2  ·  Seguridad · Motor · Rentas Pasivas</t>
  </si>
  <si>
    <t xml:space="preserve">AMS — patrimonio propio</t>
  </si>
  <si>
    <t xml:space="preserve">Caja</t>
  </si>
  <si>
    <t xml:space="preserve">Partida</t>
  </si>
  <si>
    <t xml:space="preserve">% Total</t>
  </si>
  <si>
    <t xml:space="preserve">Origen</t>
  </si>
  <si>
    <t xml:space="preserve">Seguridad</t>
  </si>
  <si>
    <t xml:space="preserve">AMS!B41</t>
  </si>
  <si>
    <t xml:space="preserve">AMS!B44</t>
  </si>
  <si>
    <t xml:space="preserve">Subtotal Seguridad</t>
  </si>
  <si>
    <t xml:space="preserve">Motor</t>
  </si>
  <si>
    <t xml:space="preserve">AMS!B40</t>
  </si>
  <si>
    <t xml:space="preserve">Subtotal Motor</t>
  </si>
  <si>
    <t xml:space="preserve">Rentas Pasivas</t>
  </si>
  <si>
    <t xml:space="preserve">AMS!B42</t>
  </si>
  <si>
    <t xml:space="preserve">AMS!B43</t>
  </si>
  <si>
    <t xml:space="preserve">Subtotal Rentas Pasivas</t>
  </si>
  <si>
    <t xml:space="preserve">TOTAL AMS (3 cajas)</t>
  </si>
  <si>
    <t xml:space="preserve">Diferencia vs. total patrimonio (control)</t>
  </si>
  <si>
    <t xml:space="preserve">Debe ser 0€. Si no lo es, hay una partida nueva en la sección 4 sin clasificar aquí.</t>
  </si>
  <si>
    <t xml:space="preserve">AML — patrimonio de tus padres</t>
  </si>
  <si>
    <t xml:space="preserve">AML!B43</t>
  </si>
  <si>
    <t xml:space="preserve">AML!B39</t>
  </si>
  <si>
    <t xml:space="preserve">AML!B40</t>
  </si>
  <si>
    <t xml:space="preserve">Bloqueado operativamente (ilíquido salvo jubilación/paro larga duración/enfermedad grave; destino: herencia). Clasificado en Motor por composición de activo, confirmado por Armando 2026-08-13.</t>
  </si>
  <si>
    <t xml:space="preserve">AML!B41</t>
  </si>
  <si>
    <t xml:space="preserve">Función declarada de renta vía dividendos, no de crecimiento (ver AML!D58). Confirmado por Armando 2026-08-13.</t>
  </si>
  <si>
    <t xml:space="preserve">AML!B42</t>
  </si>
  <si>
    <t xml:space="preserve">TOTAL AML (3 cajas)</t>
  </si>
  <si>
    <t xml:space="preserve">Colores: Seguridad (azul) · Motor (verde) · Rentas Pasivas (naranja). % Total = peso de cada caja sobre el patrimonio total de AMS o AML respectivamente. Clasificación fijada por Armando el 2026-08-13 sobre la tabla de cajas de CONSTITUTION.md Sección 2, Nivel 3 — Seguridad: liquidez/depósitos/monetarios · Motor: fondo indexado S&amp;P 500 y otras inversiones a largo plazo · Rentas Pasivas: JGPI, inmobiliario, oro.</t>
  </si>
  <si>
    <t xml:space="preserve">PROYECCIÓN CAJA MOTOR — HIPÓTESIS BASE v1</t>
  </si>
  <si>
    <t xml:space="preserve">Ilustrativa, no un objetivo. X/Y/Z por necesidad patrimonial: CONSTITUTION.md Sección 6, Pendiente. Nueva ancla de trayectoria: cierre de 31/12/2026. El seguimiento activo empieza en enero de 2027 y se registra el último día de cada mes.</t>
  </si>
  <si>
    <t xml:space="preserve">Hipótesis de rentabilidad  ·  CONSTITUTION.md Sección 2</t>
  </si>
  <si>
    <t xml:space="preserve">Rentabilidad real anualizada</t>
  </si>
  <si>
    <t xml:space="preserve">Hipótesis base v1 — CONSTITUTION.md Sección 2. Serie total return real de Shiller (data/raw/shiller.xlsx), dividendos reinvertidos, CAGR de la serie completa. No se ajusta automáticamente por CAPE ni por el Research Engine — editar solo tras actualización explícita de la Constitución.</t>
  </si>
  <si>
    <t xml:space="preserve">Rentabilidad nominal anualizada (aprox.)</t>
  </si>
  <si>
    <t xml:space="preserve">Derivada de la rentabilidad real + inflación media histórica de la serie Shiller (~2,15%/año). Misma gobernanza que la fila anterior. Compartida por los dos bloques (AMS y AML) — misma hipótesis de mercado.</t>
  </si>
  <si>
    <t xml:space="preserve">BLOQUE AMS — Caja Motor (patrimonio propio)</t>
  </si>
  <si>
    <t xml:space="preserve">Fecha y saldo de referencia  ·  congelado, no enlazado por fórmula</t>
  </si>
  <si>
    <t xml:space="preserve">Fecha de referencia</t>
  </si>
  <si>
    <t xml:space="preserve">Manual / cierre mensual</t>
  </si>
  <si>
    <t xml:space="preserve">Ancla definitiva de año natural. El saldo se congelará en el cierre del 31/12/2026; hasta entonces la trayectoria nueva no está activa.</t>
  </si>
  <si>
    <t xml:space="preserve">AMS — Caja Motor (congelado)</t>
  </si>
  <si>
    <t xml:space="preserve">Pendiente de cierre 31/12/2026</t>
  </si>
  <si>
    <t xml:space="preserve">Se tomará de AMS!B40 una vez actualizado el fichero de cartera al cierre. Debe quedar como valor congelado, no como enlace vivo.</t>
  </si>
  <si>
    <t xml:space="preserve">Trayectoria esperada desde el congelado</t>
  </si>
  <si>
    <t xml:space="preserve">Horizonte</t>
  </si>
  <si>
    <t xml:space="preserve">Fecha objetivo</t>
  </si>
  <si>
    <t xml:space="preserve">Real</t>
  </si>
  <si>
    <t xml:space="preserve">Nominal</t>
  </si>
  <si>
    <t xml:space="preserve">5 años</t>
  </si>
  <si>
    <t xml:space="preserve">10 años</t>
  </si>
  <si>
    <t xml:space="preserve">15 años</t>
  </si>
  <si>
    <t xml:space="preserve">Seguimiento — saldo real vs. trayectoria esperada (nominal)</t>
  </si>
  <si>
    <t xml:space="preserve">Fecha de control</t>
  </si>
  <si>
    <t xml:space="preserve">Años</t>
  </si>
  <si>
    <t xml:space="preserve">Actual</t>
  </si>
  <si>
    <t xml:space="preserve">Esperado</t>
  </si>
  <si>
    <t xml:space="preserve">Δ</t>
  </si>
  <si>
    <t xml:space="preserve">BLOQUE AML — Caja Motor (patrimonio de tus padres)</t>
  </si>
  <si>
    <t xml:space="preserve">Misma fecha de ancla que AMS. Los saldos AML se congelarán únicamente tras recibir y validar su fichero actualizado al cierre.</t>
  </si>
  <si>
    <t xml:space="preserve">AML — Fondos RV (congelado)</t>
  </si>
  <si>
    <t xml:space="preserve">Se tomará de AML!B39 y quedará congelado.</t>
  </si>
  <si>
    <t xml:space="preserve">AML — Planes de Pensiones (congelado)</t>
  </si>
  <si>
    <t xml:space="preserve">Se tomará de AML!B40 y quedará congelado.</t>
  </si>
  <si>
    <t xml:space="preserve">AML — Caja Motor (congelado, total)</t>
  </si>
  <si>
    <t xml:space="preserve">Suma de las dos filas anteriores. Sigue siendo un congelado: solo se mueve si cambian esas dos celdas manualmente.</t>
  </si>
  <si>
    <t xml:space="preserve">Celdas azules/amarillas = entrada manual. El 31/12/2026 se congelan los saldos de ancla de AMS y AML. Desde el 31/01/2027 se registra el saldo real el último día de cada mes; Esperado y Δ solo se calculan cuando existe un ancla válida y un saldo actualizado. Si la fuente no está al día, el cierre queda pendiente: nunca se reutiliza una cifra antigua como si fuera nueva.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</si>
</sst>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\€;\(#,##0&quot;€)&quot;"/>
    <numFmt numFmtId="166" formatCode="0.0%"/>
    <numFmt numFmtId="167" formatCode="0"/>
    <numFmt numFmtId="168" formatCode="dd/mm/yyyy"/>
    <numFmt numFmtId="169" formatCode="0.00"/>
    <numFmt numFmtId="170" formatCode="#,##0\€;\(#,##0&quot;€)&quot;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i val="true"/>
      <sz val="9"/>
      <color rgb="FF666666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3"/>
      <color rgb="FF1F1F1F"/>
      <name val="Arial"/>
      <family val="2"/>
      <charset val="1"/>
    </font>
    <font>
      <i val="true"/>
      <sz val="9"/>
      <color rgb="FF80808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1F1F1F"/>
      <name val="Arial"/>
      <family val="2"/>
      <charset val="1"/>
    </font>
    <font>
      <sz val="10"/>
      <color rgb="FF1F1F1F"/>
      <name val="Arial"/>
      <family val="2"/>
      <charset val="1"/>
    </font>
    <font>
      <sz val="8.5"/>
      <color rgb="FF9E9E9E"/>
      <name val="Arial"/>
      <family val="2"/>
      <charset val="1"/>
    </font>
    <font>
      <b val="true"/>
      <sz val="10.5"/>
      <color rgb="FFFFFFFF"/>
      <name val="Arial"/>
      <family val="2"/>
      <charset val="1"/>
    </font>
    <font>
      <i val="true"/>
      <sz val="8.5"/>
      <color rgb="FF7F7F7F"/>
      <name val="Arial"/>
      <family val="2"/>
      <charset val="1"/>
    </font>
    <font>
      <sz val="11"/>
      <color theme="1"/>
      <name val="Arial"/>
      <family val="2"/>
      <charset val="1"/>
    </font>
    <font>
      <sz val="9"/>
      <color rgb="FF808080"/>
      <name val="Arial"/>
      <family val="2"/>
      <charset val="1"/>
    </font>
    <font>
      <b val="true"/>
      <sz val="10"/>
      <color rgb="FF1155CC"/>
      <name val="Arial"/>
      <family val="2"/>
      <charset val="1"/>
    </font>
    <font>
      <b val="true"/>
      <sz val="10.5"/>
      <color rgb="FF1F1F1F"/>
      <name val="Arial"/>
      <family val="2"/>
      <charset val="1"/>
    </font>
    <font>
      <sz val="8.5"/>
      <color rgb="FF7F7F7F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theme="0" tint="-0.15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2E5395"/>
        <bgColor rgb="FF1155CC"/>
      </patternFill>
    </fill>
    <fill>
      <patternFill patternType="solid">
        <fgColor rgb="FFDDEBF7"/>
        <bgColor rgb="FFD9E1F2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DEBF7"/>
      </patternFill>
    </fill>
    <fill>
      <patternFill patternType="solid">
        <fgColor rgb="FFA9D18E"/>
        <bgColor rgb="FFBDD7EE"/>
      </patternFill>
    </fill>
    <fill>
      <patternFill patternType="solid">
        <fgColor rgb="FFFCE4D6"/>
        <bgColor rgb="FFFFF2CC"/>
      </patternFill>
    </fill>
    <fill>
      <patternFill patternType="solid">
        <fgColor rgb="FFF4B183"/>
        <bgColor rgb="FFFFC7CE"/>
      </patternFill>
    </fill>
    <fill>
      <patternFill patternType="solid">
        <fgColor rgb="FF404040"/>
        <bgColor rgb="FF1F1F1F"/>
      </patternFill>
    </fill>
    <fill>
      <patternFill patternType="solid">
        <fgColor rgb="FFFFF2CC"/>
        <bgColor rgb="FFFCE4D6"/>
      </patternFill>
    </fill>
    <fill>
      <patternFill patternType="solid">
        <fgColor theme="0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0808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2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2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2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006100"/>
      <rgbColor rgb="FF000080"/>
      <rgbColor rgb="FF7F7F7F"/>
      <rgbColor rgb="FF800080"/>
      <rgbColor rgb="FF008080"/>
      <rgbColor rgb="FFA9D18E"/>
      <rgbColor rgb="FF808080"/>
      <rgbColor rgb="FF9999FF"/>
      <rgbColor rgb="FF993366"/>
      <rgbColor rgb="FFFFF2CC"/>
      <rgbColor rgb="FFDDEBF7"/>
      <rgbColor rgb="FF660066"/>
      <rgbColor rgb="FFFF8080"/>
      <rgbColor rgb="FF1155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D9D9D9"/>
      <rgbColor rgb="FFF4B183"/>
      <rgbColor rgb="FFD9E1F2"/>
      <rgbColor rgb="FFFFC7CE"/>
      <rgbColor rgb="FF3366FF"/>
      <rgbColor rgb="FF33CCCC"/>
      <rgbColor rgb="FF99CC00"/>
      <rgbColor rgb="FFFCE4D6"/>
      <rgbColor rgb="FFFF9900"/>
      <rgbColor rgb="FFFF6600"/>
      <rgbColor rgb="FF666666"/>
      <rgbColor rgb="FF9E9E9E"/>
      <rgbColor rgb="FF003366"/>
      <rgbColor rgb="FF339966"/>
      <rgbColor rgb="FF003300"/>
      <rgbColor rgb="FF1F1F1F"/>
      <rgbColor rgb="FF993300"/>
      <rgbColor rgb="FF993366"/>
      <rgbColor rgb="FF2E539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70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5" t="s">
        <v>4</v>
      </c>
      <c r="B6" s="4" t="s">
        <v>5</v>
      </c>
    </row>
    <row r="7" customFormat="false" ht="15" hidden="false" customHeight="true" outlineLevel="0" collapsed="false">
      <c r="A7" s="4" t="s">
        <v>6</v>
      </c>
      <c r="B7" s="4" t="s">
        <v>7</v>
      </c>
    </row>
    <row r="9" customFormat="false" ht="15" hidden="false" customHeight="true" outlineLevel="0" collapsed="false">
      <c r="A9" s="3" t="s">
        <v>8</v>
      </c>
    </row>
    <row r="10" customFormat="false" ht="15" hidden="false" customHeight="true" outlineLevel="0" collapsed="false">
      <c r="A10" s="4" t="s">
        <v>9</v>
      </c>
      <c r="B10" s="4" t="s">
        <v>10</v>
      </c>
    </row>
    <row r="11" customFormat="false" ht="15" hidden="false" customHeight="true" outlineLevel="0" collapsed="false">
      <c r="A11" s="4" t="s">
        <v>9</v>
      </c>
      <c r="B11" s="4" t="s">
        <v>11</v>
      </c>
    </row>
    <row r="12" customFormat="false" ht="15" hidden="false" customHeight="true" outlineLevel="0" collapsed="false">
      <c r="A12" s="4" t="s">
        <v>9</v>
      </c>
      <c r="B12" s="4" t="s">
        <v>12</v>
      </c>
    </row>
    <row r="14" customFormat="false" ht="42" hidden="false" customHeight="true" outlineLevel="0" collapsed="false">
      <c r="A14" s="3" t="s">
        <v>13</v>
      </c>
      <c r="B14" s="4" t="s">
        <v>14</v>
      </c>
    </row>
    <row r="16" customFormat="false" ht="15" hidden="false" customHeight="true" outlineLevel="0" collapsed="false">
      <c r="A16" s="3" t="s">
        <v>15</v>
      </c>
      <c r="B16" s="4" t="s">
        <v>16</v>
      </c>
    </row>
    <row r="18" customFormat="false" ht="15" hidden="false" customHeight="true" outlineLevel="0" collapsed="false">
      <c r="A18" s="3" t="s">
        <v>17</v>
      </c>
    </row>
    <row r="19" customFormat="false" ht="30" hidden="false" customHeight="true" outlineLevel="0" collapsed="false">
      <c r="A19" s="4" t="s">
        <v>9</v>
      </c>
      <c r="B19" s="4" t="s">
        <v>18</v>
      </c>
    </row>
    <row r="20" customFormat="false" ht="30" hidden="false" customHeight="true" outlineLevel="0" collapsed="false">
      <c r="A20" s="4" t="s">
        <v>9</v>
      </c>
      <c r="B20" s="4" t="s">
        <v>19</v>
      </c>
    </row>
    <row r="21" customFormat="false" ht="30" hidden="false" customHeight="true" outlineLevel="0" collapsed="false">
      <c r="A21" s="4" t="s">
        <v>9</v>
      </c>
      <c r="B21" s="4" t="s">
        <v>20</v>
      </c>
    </row>
    <row r="22" customFormat="false" ht="30" hidden="false" customHeight="true" outlineLevel="0" collapsed="false">
      <c r="A22" s="4" t="s">
        <v>9</v>
      </c>
      <c r="B22" s="4" t="s">
        <v>21</v>
      </c>
    </row>
    <row r="23" customFormat="false" ht="30" hidden="false" customHeight="true" outlineLevel="0" collapsed="false">
      <c r="A23" s="4" t="s">
        <v>9</v>
      </c>
      <c r="B23" s="4" t="s">
        <v>22</v>
      </c>
    </row>
    <row r="24" customFormat="false" ht="30" hidden="false" customHeight="true" outlineLevel="0" collapsed="false">
      <c r="A24" s="4" t="s">
        <v>9</v>
      </c>
      <c r="B24" s="4" t="s">
        <v>23</v>
      </c>
    </row>
    <row r="25" customFormat="false" ht="60" hidden="false" customHeight="true" outlineLevel="0" collapsed="false">
      <c r="A25" s="4" t="s">
        <v>9</v>
      </c>
      <c r="B25" s="4" t="s">
        <v>24</v>
      </c>
    </row>
    <row r="26" customFormat="false" ht="36" hidden="false" customHeight="true" outlineLevel="0" collapsed="false">
      <c r="A26" s="4" t="s">
        <v>9</v>
      </c>
      <c r="B26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2" colorId="64" zoomScale="120" zoomScaleNormal="120" zoomScalePageLayoutView="100" workbookViewId="0">
      <selection pane="topLeft" activeCell="B65" activeCellId="0" sqref="B65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74"/>
  </cols>
  <sheetData>
    <row r="1" customFormat="false" ht="15.75" hidden="false" customHeight="true" outlineLevel="0" collapsed="false">
      <c r="A1" s="2" t="s">
        <v>26</v>
      </c>
    </row>
    <row r="3" customFormat="false" ht="15" hidden="false" customHeight="true" outlineLevel="0" collapsed="false">
      <c r="A3" s="6" t="s">
        <v>27</v>
      </c>
      <c r="B3" s="7"/>
      <c r="C3" s="7"/>
      <c r="D3" s="7"/>
    </row>
    <row r="4" customFormat="false" ht="15" hidden="false" customHeight="true" outlineLevel="0" collapsed="false">
      <c r="A4" s="8" t="s">
        <v>28</v>
      </c>
      <c r="B4" s="8" t="s">
        <v>29</v>
      </c>
      <c r="C4" s="8" t="s">
        <v>30</v>
      </c>
      <c r="D4" s="8" t="s">
        <v>31</v>
      </c>
    </row>
    <row r="5" customFormat="false" ht="15" hidden="false" customHeight="true" outlineLevel="0" collapsed="false">
      <c r="A5" s="4" t="s">
        <v>32</v>
      </c>
      <c r="B5" s="9" t="n">
        <v>22000</v>
      </c>
      <c r="C5" s="10" t="s">
        <v>33</v>
      </c>
      <c r="D5" s="10" t="s">
        <v>34</v>
      </c>
    </row>
    <row r="6" customFormat="false" ht="15" hidden="false" customHeight="true" outlineLevel="0" collapsed="false">
      <c r="A6" s="4" t="s">
        <v>35</v>
      </c>
      <c r="B6" s="11" t="n">
        <f aca="false">B32</f>
        <v>15000</v>
      </c>
      <c r="C6" s="10" t="s">
        <v>36</v>
      </c>
      <c r="D6" s="10" t="s">
        <v>37</v>
      </c>
    </row>
    <row r="7" customFormat="false" ht="15" hidden="false" customHeight="true" outlineLevel="0" collapsed="false">
      <c r="A7" s="4" t="s">
        <v>38</v>
      </c>
      <c r="B7" s="12" t="n">
        <f aca="false">B6-B5</f>
        <v>-7000</v>
      </c>
      <c r="C7" s="10" t="s">
        <v>39</v>
      </c>
      <c r="D7" s="10" t="s">
        <v>40</v>
      </c>
    </row>
    <row r="8" customFormat="false" ht="15" hidden="false" customHeight="true" outlineLevel="0" collapsed="false">
      <c r="A8" s="4" t="s">
        <v>41</v>
      </c>
      <c r="B8" s="5" t="s">
        <v>42</v>
      </c>
      <c r="C8" s="10" t="s">
        <v>33</v>
      </c>
      <c r="D8" s="10" t="s">
        <v>43</v>
      </c>
    </row>
    <row r="9" customFormat="false" ht="15" hidden="false" customHeight="true" outlineLevel="0" collapsed="false">
      <c r="A9" s="4" t="s">
        <v>44</v>
      </c>
      <c r="B9" s="9" t="n">
        <v>30000</v>
      </c>
      <c r="C9" s="10" t="s">
        <v>33</v>
      </c>
      <c r="D9" s="10" t="s">
        <v>45</v>
      </c>
    </row>
    <row r="10" customFormat="false" ht="15" hidden="false" customHeight="true" outlineLevel="0" collapsed="false">
      <c r="A10" s="4" t="s">
        <v>46</v>
      </c>
      <c r="B10" s="9" t="n">
        <v>70000</v>
      </c>
      <c r="C10" s="10" t="s">
        <v>33</v>
      </c>
      <c r="D10" s="10" t="s">
        <v>47</v>
      </c>
    </row>
    <row r="11" customFormat="false" ht="15" hidden="false" customHeight="true" outlineLevel="0" collapsed="false">
      <c r="A11" s="4" t="s">
        <v>48</v>
      </c>
      <c r="B11" s="9" t="n">
        <v>120000</v>
      </c>
      <c r="C11" s="10" t="s">
        <v>33</v>
      </c>
      <c r="D11" s="10" t="s">
        <v>49</v>
      </c>
    </row>
    <row r="12" customFormat="false" ht="15" hidden="false" customHeight="true" outlineLevel="0" collapsed="false">
      <c r="A12" s="4" t="s">
        <v>50</v>
      </c>
      <c r="B12" s="12" t="n">
        <f aca="false">B9+B10</f>
        <v>100000</v>
      </c>
      <c r="C12" s="10" t="s">
        <v>39</v>
      </c>
      <c r="D12" s="13"/>
    </row>
    <row r="13" customFormat="false" ht="15" hidden="false" customHeight="true" outlineLevel="0" collapsed="false">
      <c r="A13" s="4" t="s">
        <v>51</v>
      </c>
      <c r="B13" s="12" t="n">
        <f aca="false">B9+B11</f>
        <v>150000</v>
      </c>
      <c r="C13" s="10" t="s">
        <v>39</v>
      </c>
      <c r="D13" s="13"/>
    </row>
    <row r="14" customFormat="false" ht="15" hidden="false" customHeight="true" outlineLevel="0" collapsed="false">
      <c r="A14" s="4" t="s">
        <v>52</v>
      </c>
      <c r="B14" s="9" t="n">
        <v>107200</v>
      </c>
      <c r="C14" s="10" t="s">
        <v>53</v>
      </c>
      <c r="D14" s="10" t="s">
        <v>54</v>
      </c>
    </row>
    <row r="15" customFormat="false" ht="15" hidden="false" customHeight="true" outlineLevel="0" collapsed="false">
      <c r="A15" s="4" t="s">
        <v>55</v>
      </c>
      <c r="B15" s="9" t="n">
        <v>84690</v>
      </c>
      <c r="C15" s="10" t="s">
        <v>53</v>
      </c>
      <c r="D15" s="10" t="s">
        <v>56</v>
      </c>
    </row>
    <row r="16" customFormat="false" ht="15" hidden="false" customHeight="true" outlineLevel="0" collapsed="false">
      <c r="A16" s="4" t="s">
        <v>57</v>
      </c>
      <c r="B16" s="12" t="n">
        <f aca="false">SUM(B14:B15)</f>
        <v>191890</v>
      </c>
      <c r="C16" s="10" t="s">
        <v>39</v>
      </c>
      <c r="D16" s="13"/>
    </row>
    <row r="17" customFormat="false" ht="15" hidden="false" customHeight="true" outlineLevel="0" collapsed="false">
      <c r="A17" s="4" t="s">
        <v>58</v>
      </c>
      <c r="B17" s="12" t="n">
        <f aca="false">B16-B9</f>
        <v>161890</v>
      </c>
      <c r="C17" s="10" t="s">
        <v>39</v>
      </c>
      <c r="D17" s="13"/>
    </row>
    <row r="18" customFormat="false" ht="15" hidden="false" customHeight="true" outlineLevel="0" collapsed="false">
      <c r="A18" s="4" t="s">
        <v>59</v>
      </c>
      <c r="B18" s="12" t="n">
        <f aca="false">B16-B12</f>
        <v>91890</v>
      </c>
      <c r="C18" s="10" t="s">
        <v>39</v>
      </c>
      <c r="D18" s="13"/>
    </row>
    <row r="19" customFormat="false" ht="15" hidden="false" customHeight="true" outlineLevel="0" collapsed="false">
      <c r="A19" s="14" t="s">
        <v>60</v>
      </c>
      <c r="B19" s="15" t="n">
        <f aca="false">B16-B13</f>
        <v>41890</v>
      </c>
      <c r="C19" s="10" t="s">
        <v>39</v>
      </c>
      <c r="D19" s="10" t="s">
        <v>61</v>
      </c>
    </row>
    <row r="20" customFormat="false" ht="15" hidden="false" customHeight="true" outlineLevel="0" collapsed="false">
      <c r="A20" s="4" t="s">
        <v>62</v>
      </c>
      <c r="B20" s="12" t="n">
        <f aca="false">B17-B10</f>
        <v>91890</v>
      </c>
      <c r="C20" s="10" t="s">
        <v>39</v>
      </c>
      <c r="D20" s="13"/>
    </row>
    <row r="21" customFormat="false" ht="15" hidden="false" customHeight="true" outlineLevel="0" collapsed="false">
      <c r="A21" s="4" t="s">
        <v>63</v>
      </c>
      <c r="B21" s="12" t="n">
        <f aca="false">B17-B11</f>
        <v>41890</v>
      </c>
      <c r="C21" s="10" t="s">
        <v>39</v>
      </c>
      <c r="D21" s="13"/>
    </row>
    <row r="23" customFormat="false" ht="15" hidden="false" customHeight="true" outlineLevel="0" collapsed="false">
      <c r="A23" s="6" t="s">
        <v>64</v>
      </c>
      <c r="B23" s="7"/>
      <c r="C23" s="7"/>
      <c r="D23" s="7"/>
    </row>
    <row r="24" customFormat="false" ht="15" hidden="false" customHeight="true" outlineLevel="0" collapsed="false">
      <c r="A24" s="8" t="s">
        <v>28</v>
      </c>
      <c r="B24" s="8" t="s">
        <v>29</v>
      </c>
      <c r="C24" s="8" t="s">
        <v>30</v>
      </c>
      <c r="D24" s="8" t="s">
        <v>31</v>
      </c>
    </row>
    <row r="25" customFormat="false" ht="15" hidden="false" customHeight="true" outlineLevel="0" collapsed="false">
      <c r="A25" s="4" t="s">
        <v>65</v>
      </c>
      <c r="B25" s="5" t="s">
        <v>66</v>
      </c>
      <c r="C25" s="10" t="s">
        <v>67</v>
      </c>
      <c r="D25" s="10" t="s">
        <v>68</v>
      </c>
    </row>
    <row r="27" customFormat="false" ht="15" hidden="false" customHeight="true" outlineLevel="0" collapsed="false">
      <c r="A27" s="6" t="s">
        <v>69</v>
      </c>
      <c r="B27" s="7"/>
      <c r="C27" s="7"/>
      <c r="D27" s="7"/>
    </row>
    <row r="28" customFormat="false" ht="15" hidden="false" customHeight="true" outlineLevel="0" collapsed="false">
      <c r="A28" s="8" t="s">
        <v>28</v>
      </c>
      <c r="B28" s="8" t="s">
        <v>29</v>
      </c>
      <c r="C28" s="8" t="s">
        <v>30</v>
      </c>
      <c r="D28" s="8" t="s">
        <v>31</v>
      </c>
    </row>
    <row r="29" customFormat="false" ht="15" hidden="false" customHeight="true" outlineLevel="0" collapsed="false">
      <c r="A29" s="4" t="s">
        <v>70</v>
      </c>
      <c r="B29" s="9" t="n">
        <v>6000</v>
      </c>
      <c r="C29" s="10" t="s">
        <v>33</v>
      </c>
      <c r="D29" s="13"/>
    </row>
    <row r="30" customFormat="false" ht="15" hidden="false" customHeight="true" outlineLevel="0" collapsed="false">
      <c r="A30" s="4" t="s">
        <v>71</v>
      </c>
      <c r="B30" s="9" t="n">
        <v>6000</v>
      </c>
      <c r="C30" s="10" t="s">
        <v>33</v>
      </c>
      <c r="D30" s="13"/>
    </row>
    <row r="31" customFormat="false" ht="15" hidden="false" customHeight="true" outlineLevel="0" collapsed="false">
      <c r="A31" s="4" t="s">
        <v>72</v>
      </c>
      <c r="B31" s="9" t="n">
        <v>3000</v>
      </c>
      <c r="C31" s="10" t="s">
        <v>33</v>
      </c>
      <c r="D31" s="13"/>
    </row>
    <row r="32" customFormat="false" ht="15" hidden="false" customHeight="true" outlineLevel="0" collapsed="false">
      <c r="A32" s="4" t="s">
        <v>73</v>
      </c>
      <c r="B32" s="12" t="n">
        <f aca="false">SUM(B29:B31)</f>
        <v>15000</v>
      </c>
      <c r="C32" s="10" t="s">
        <v>39</v>
      </c>
      <c r="D32" s="13"/>
    </row>
    <row r="33" customFormat="false" ht="15" hidden="false" customHeight="true" outlineLevel="0" collapsed="false">
      <c r="A33" s="4" t="s">
        <v>74</v>
      </c>
      <c r="B33" s="16" t="n">
        <f aca="false">B29/B32</f>
        <v>0.4</v>
      </c>
      <c r="C33" s="10" t="s">
        <v>39</v>
      </c>
      <c r="D33" s="13"/>
    </row>
    <row r="34" customFormat="false" ht="15" hidden="false" customHeight="true" outlineLevel="0" collapsed="false">
      <c r="A34" s="4" t="s">
        <v>75</v>
      </c>
      <c r="B34" s="16" t="n">
        <f aca="false">B30/B32</f>
        <v>0.4</v>
      </c>
      <c r="C34" s="10" t="s">
        <v>39</v>
      </c>
      <c r="D34" s="13"/>
    </row>
    <row r="35" customFormat="false" ht="15" hidden="false" customHeight="true" outlineLevel="0" collapsed="false">
      <c r="A35" s="4" t="s">
        <v>76</v>
      </c>
      <c r="B35" s="16" t="n">
        <f aca="false">B31/B32</f>
        <v>0.2</v>
      </c>
      <c r="C35" s="10" t="s">
        <v>39</v>
      </c>
      <c r="D35" s="13"/>
    </row>
    <row r="36" customFormat="false" ht="15" hidden="false" customHeight="true" outlineLevel="0" collapsed="false">
      <c r="A36" s="4" t="s">
        <v>77</v>
      </c>
      <c r="B36" s="5" t="s">
        <v>78</v>
      </c>
      <c r="C36" s="10" t="s">
        <v>33</v>
      </c>
      <c r="D36" s="10" t="s">
        <v>79</v>
      </c>
    </row>
    <row r="38" customFormat="false" ht="15" hidden="false" customHeight="true" outlineLevel="0" collapsed="false">
      <c r="A38" s="6" t="s">
        <v>80</v>
      </c>
      <c r="B38" s="7"/>
      <c r="C38" s="7"/>
      <c r="D38" s="7"/>
    </row>
    <row r="39" customFormat="false" ht="15" hidden="false" customHeight="true" outlineLevel="0" collapsed="false">
      <c r="A39" s="8" t="s">
        <v>28</v>
      </c>
      <c r="B39" s="8" t="s">
        <v>29</v>
      </c>
      <c r="C39" s="8" t="s">
        <v>30</v>
      </c>
      <c r="D39" s="8" t="s">
        <v>31</v>
      </c>
    </row>
    <row r="40" customFormat="false" ht="15" hidden="false" customHeight="true" outlineLevel="0" collapsed="false">
      <c r="A40" s="4" t="s">
        <v>81</v>
      </c>
      <c r="B40" s="9" t="n">
        <v>891003</v>
      </c>
      <c r="C40" s="10" t="s">
        <v>53</v>
      </c>
      <c r="D40" s="13"/>
    </row>
    <row r="41" customFormat="false" ht="15" hidden="false" customHeight="true" outlineLevel="0" collapsed="false">
      <c r="A41" s="4" t="s">
        <v>82</v>
      </c>
      <c r="B41" s="11" t="n">
        <f aca="false">B15</f>
        <v>84690</v>
      </c>
      <c r="C41" s="10" t="s">
        <v>53</v>
      </c>
      <c r="D41" s="13"/>
    </row>
    <row r="42" customFormat="false" ht="15" hidden="false" customHeight="true" outlineLevel="0" collapsed="false">
      <c r="A42" s="4" t="s">
        <v>83</v>
      </c>
      <c r="B42" s="9" t="n">
        <v>90795</v>
      </c>
      <c r="C42" s="10" t="s">
        <v>53</v>
      </c>
      <c r="D42" s="13"/>
    </row>
    <row r="43" customFormat="false" ht="15" hidden="false" customHeight="true" outlineLevel="0" collapsed="false">
      <c r="A43" s="4" t="s">
        <v>84</v>
      </c>
      <c r="B43" s="9" t="n">
        <v>100000</v>
      </c>
      <c r="C43" s="10" t="s">
        <v>53</v>
      </c>
      <c r="D43" s="13"/>
    </row>
    <row r="44" customFormat="false" ht="15" hidden="false" customHeight="true" outlineLevel="0" collapsed="false">
      <c r="A44" s="4" t="s">
        <v>85</v>
      </c>
      <c r="B44" s="11" t="n">
        <f aca="false">B14</f>
        <v>107200</v>
      </c>
      <c r="C44" s="10" t="s">
        <v>53</v>
      </c>
      <c r="D44" s="10" t="s">
        <v>86</v>
      </c>
    </row>
    <row r="45" customFormat="false" ht="15" hidden="false" customHeight="true" outlineLevel="0" collapsed="false">
      <c r="A45" s="17" t="s">
        <v>87</v>
      </c>
      <c r="B45" s="18" t="n">
        <f aca="false">SUM(B40:B44)</f>
        <v>1273688</v>
      </c>
      <c r="C45" s="19" t="s">
        <v>39</v>
      </c>
      <c r="D45" s="20"/>
    </row>
    <row r="46" customFormat="false" ht="15" hidden="false" customHeight="true" outlineLevel="0" collapsed="false">
      <c r="A46" s="4" t="s">
        <v>88</v>
      </c>
      <c r="B46" s="16" t="n">
        <f aca="false">B40/B45</f>
        <v>0.699545728624278</v>
      </c>
      <c r="C46" s="10" t="s">
        <v>39</v>
      </c>
      <c r="D46" s="13"/>
    </row>
    <row r="47" customFormat="false" ht="15" hidden="false" customHeight="true" outlineLevel="0" collapsed="false">
      <c r="A47" s="4" t="s">
        <v>89</v>
      </c>
      <c r="B47" s="16" t="n">
        <f aca="false">B41/B45</f>
        <v>0.0664919509330385</v>
      </c>
      <c r="C47" s="10" t="s">
        <v>39</v>
      </c>
      <c r="D47" s="13"/>
    </row>
    <row r="48" customFormat="false" ht="15" hidden="false" customHeight="true" outlineLevel="0" collapsed="false">
      <c r="A48" s="4" t="s">
        <v>90</v>
      </c>
      <c r="B48" s="16" t="n">
        <f aca="false">B42/B45</f>
        <v>0.0712851184905566</v>
      </c>
      <c r="C48" s="10" t="s">
        <v>39</v>
      </c>
      <c r="D48" s="13"/>
    </row>
    <row r="49" customFormat="false" ht="15" hidden="false" customHeight="true" outlineLevel="0" collapsed="false">
      <c r="A49" s="4" t="s">
        <v>91</v>
      </c>
      <c r="B49" s="16" t="n">
        <f aca="false">B43/B45</f>
        <v>0.0785121631043081</v>
      </c>
      <c r="C49" s="10" t="s">
        <v>39</v>
      </c>
      <c r="D49" s="13"/>
    </row>
    <row r="50" customFormat="false" ht="15" hidden="false" customHeight="true" outlineLevel="0" collapsed="false">
      <c r="A50" s="4" t="s">
        <v>92</v>
      </c>
      <c r="B50" s="16" t="n">
        <f aca="false">B44/B45</f>
        <v>0.0841650388478183</v>
      </c>
      <c r="C50" s="10" t="s">
        <v>39</v>
      </c>
      <c r="D50" s="13"/>
    </row>
    <row r="51" customFormat="false" ht="15" hidden="false" customHeight="true" outlineLevel="0" collapsed="false">
      <c r="A51" s="4" t="s">
        <v>93</v>
      </c>
      <c r="B51" s="5" t="s">
        <v>78</v>
      </c>
      <c r="C51" s="10" t="s">
        <v>33</v>
      </c>
      <c r="D51" s="10" t="s">
        <v>94</v>
      </c>
    </row>
    <row r="53" customFormat="false" ht="15" hidden="false" customHeight="true" outlineLevel="0" collapsed="false">
      <c r="A53" s="6" t="s">
        <v>95</v>
      </c>
      <c r="B53" s="7"/>
      <c r="C53" s="7"/>
      <c r="D53" s="7"/>
    </row>
    <row r="54" customFormat="false" ht="15" hidden="false" customHeight="true" outlineLevel="0" collapsed="false">
      <c r="A54" s="8" t="s">
        <v>28</v>
      </c>
      <c r="B54" s="8" t="s">
        <v>29</v>
      </c>
      <c r="C54" s="8" t="s">
        <v>30</v>
      </c>
      <c r="D54" s="8" t="s">
        <v>31</v>
      </c>
    </row>
    <row r="55" customFormat="false" ht="15" hidden="false" customHeight="true" outlineLevel="0" collapsed="false">
      <c r="A55" s="4" t="s">
        <v>96</v>
      </c>
      <c r="B55" s="5" t="s">
        <v>97</v>
      </c>
      <c r="C55" s="10" t="s">
        <v>33</v>
      </c>
      <c r="D55" s="10" t="s">
        <v>98</v>
      </c>
    </row>
    <row r="56" customFormat="false" ht="15" hidden="false" customHeight="true" outlineLevel="0" collapsed="false">
      <c r="A56" s="4" t="s">
        <v>99</v>
      </c>
      <c r="B56" s="5" t="s">
        <v>100</v>
      </c>
      <c r="C56" s="10" t="s">
        <v>33</v>
      </c>
      <c r="D56" s="10" t="s">
        <v>101</v>
      </c>
    </row>
    <row r="58" customFormat="false" ht="15" hidden="false" customHeight="true" outlineLevel="0" collapsed="false">
      <c r="A58" s="6" t="s">
        <v>102</v>
      </c>
      <c r="B58" s="7"/>
      <c r="C58" s="7"/>
      <c r="D58" s="7"/>
    </row>
    <row r="59" customFormat="false" ht="15" hidden="false" customHeight="true" outlineLevel="0" collapsed="false">
      <c r="A59" s="8" t="s">
        <v>28</v>
      </c>
      <c r="B59" s="8" t="s">
        <v>29</v>
      </c>
      <c r="C59" s="8" t="s">
        <v>30</v>
      </c>
      <c r="D59" s="8" t="s">
        <v>31</v>
      </c>
    </row>
    <row r="60" customFormat="false" ht="15" hidden="false" customHeight="true" outlineLevel="0" collapsed="false">
      <c r="A60" s="4" t="s">
        <v>103</v>
      </c>
      <c r="B60" s="9" t="n">
        <v>-215092</v>
      </c>
      <c r="C60" s="10" t="s">
        <v>53</v>
      </c>
      <c r="D60" s="10" t="s">
        <v>104</v>
      </c>
    </row>
    <row r="61" customFormat="false" ht="15" hidden="false" customHeight="true" outlineLevel="0" collapsed="false">
      <c r="A61" s="4" t="s">
        <v>105</v>
      </c>
      <c r="B61" s="5" t="s">
        <v>106</v>
      </c>
      <c r="C61" s="10" t="s">
        <v>33</v>
      </c>
      <c r="D61" s="1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9" activeCellId="0" sqref="B19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21" width="57.33"/>
    <col collapsed="false" customWidth="true" hidden="false" outlineLevel="0" max="2" min="2" style="21" width="16"/>
    <col collapsed="false" customWidth="true" hidden="false" outlineLevel="0" max="3" min="3" style="21" width="38"/>
    <col collapsed="false" customWidth="true" hidden="false" outlineLevel="0" max="4" min="4" style="21" width="255.83"/>
    <col collapsed="false" customWidth="false" hidden="false" outlineLevel="0" max="16384" min="5" style="21" width="8.67"/>
  </cols>
  <sheetData>
    <row r="1" customFormat="false" ht="15.75" hidden="false" customHeight="true" outlineLevel="0" collapsed="false">
      <c r="A1" s="22" t="s">
        <v>108</v>
      </c>
    </row>
    <row r="3" customFormat="false" ht="15" hidden="false" customHeight="true" outlineLevel="0" collapsed="false">
      <c r="A3" s="23" t="s">
        <v>27</v>
      </c>
      <c r="B3" s="24"/>
      <c r="C3" s="24"/>
      <c r="D3" s="24"/>
    </row>
    <row r="4" customFormat="false" ht="15" hidden="false" customHeight="true" outlineLevel="0" collapsed="false">
      <c r="A4" s="25" t="s">
        <v>28</v>
      </c>
      <c r="B4" s="25" t="s">
        <v>29</v>
      </c>
      <c r="C4" s="25" t="s">
        <v>30</v>
      </c>
      <c r="D4" s="25" t="s">
        <v>31</v>
      </c>
    </row>
    <row r="5" customFormat="false" ht="15" hidden="false" customHeight="true" outlineLevel="0" collapsed="false">
      <c r="A5" s="26" t="s">
        <v>32</v>
      </c>
      <c r="B5" s="27" t="n">
        <v>32500</v>
      </c>
      <c r="C5" s="28" t="s">
        <v>33</v>
      </c>
      <c r="D5" s="28" t="s">
        <v>109</v>
      </c>
    </row>
    <row r="6" customFormat="false" ht="15" hidden="false" customHeight="true" outlineLevel="0" collapsed="false">
      <c r="A6" s="26" t="s">
        <v>35</v>
      </c>
      <c r="B6" s="29" t="n">
        <f aca="false">B32</f>
        <v>80000</v>
      </c>
      <c r="C6" s="28" t="s">
        <v>36</v>
      </c>
      <c r="D6" s="28" t="s">
        <v>110</v>
      </c>
    </row>
    <row r="7" customFormat="false" ht="15" hidden="false" customHeight="true" outlineLevel="0" collapsed="false">
      <c r="A7" s="26" t="s">
        <v>111</v>
      </c>
      <c r="B7" s="30" t="n">
        <f aca="false">B6-B5</f>
        <v>47500</v>
      </c>
      <c r="C7" s="28" t="s">
        <v>39</v>
      </c>
      <c r="D7" s="28" t="s">
        <v>112</v>
      </c>
    </row>
    <row r="8" customFormat="false" ht="15" hidden="false" customHeight="true" outlineLevel="0" collapsed="false">
      <c r="A8" s="26" t="s">
        <v>44</v>
      </c>
      <c r="B8" s="27" t="n">
        <v>125000</v>
      </c>
      <c r="C8" s="28" t="s">
        <v>33</v>
      </c>
      <c r="D8" s="28" t="s">
        <v>113</v>
      </c>
    </row>
    <row r="9" customFormat="false" ht="15" hidden="false" customHeight="true" outlineLevel="0" collapsed="false">
      <c r="A9" s="26" t="s">
        <v>46</v>
      </c>
      <c r="B9" s="27" t="n">
        <v>125000</v>
      </c>
      <c r="C9" s="28" t="s">
        <v>33</v>
      </c>
      <c r="D9" s="31"/>
    </row>
    <row r="10" customFormat="false" ht="15" hidden="false" customHeight="true" outlineLevel="0" collapsed="false">
      <c r="A10" s="26" t="s">
        <v>48</v>
      </c>
      <c r="B10" s="27" t="n">
        <v>175000</v>
      </c>
      <c r="C10" s="28" t="s">
        <v>33</v>
      </c>
      <c r="D10" s="31"/>
    </row>
    <row r="11" customFormat="false" ht="15" hidden="false" customHeight="true" outlineLevel="0" collapsed="false">
      <c r="A11" s="26" t="s">
        <v>50</v>
      </c>
      <c r="B11" s="30" t="n">
        <f aca="false">B8+B9</f>
        <v>250000</v>
      </c>
      <c r="C11" s="28" t="s">
        <v>39</v>
      </c>
      <c r="D11" s="31"/>
    </row>
    <row r="12" customFormat="false" ht="15" hidden="false" customHeight="true" outlineLevel="0" collapsed="false">
      <c r="A12" s="26" t="s">
        <v>51</v>
      </c>
      <c r="B12" s="30" t="n">
        <f aca="false">B8+B10</f>
        <v>300000</v>
      </c>
      <c r="C12" s="28" t="s">
        <v>39</v>
      </c>
      <c r="D12" s="28" t="s">
        <v>114</v>
      </c>
    </row>
    <row r="13" customFormat="false" ht="15" hidden="false" customHeight="true" outlineLevel="0" collapsed="false">
      <c r="A13" s="26" t="s">
        <v>52</v>
      </c>
      <c r="B13" s="27" t="n">
        <v>54375</v>
      </c>
      <c r="C13" s="28" t="s">
        <v>115</v>
      </c>
      <c r="D13" s="31"/>
    </row>
    <row r="14" customFormat="false" ht="15" hidden="false" customHeight="true" outlineLevel="0" collapsed="false">
      <c r="A14" s="26" t="s">
        <v>116</v>
      </c>
      <c r="B14" s="27" t="n">
        <v>60000</v>
      </c>
      <c r="C14" s="28" t="s">
        <v>115</v>
      </c>
      <c r="D14" s="28" t="s">
        <v>117</v>
      </c>
    </row>
    <row r="15" customFormat="false" ht="15" hidden="false" customHeight="true" outlineLevel="0" collapsed="false">
      <c r="A15" s="26" t="s">
        <v>118</v>
      </c>
      <c r="B15" s="27" t="n">
        <v>0</v>
      </c>
      <c r="C15" s="28" t="s">
        <v>115</v>
      </c>
      <c r="D15" s="28" t="s">
        <v>119</v>
      </c>
    </row>
    <row r="16" customFormat="false" ht="15" hidden="false" customHeight="true" outlineLevel="0" collapsed="false">
      <c r="A16" s="26" t="s">
        <v>55</v>
      </c>
      <c r="B16" s="27" t="n">
        <v>95172</v>
      </c>
      <c r="C16" s="28" t="s">
        <v>33</v>
      </c>
      <c r="D16" s="28" t="s">
        <v>120</v>
      </c>
    </row>
    <row r="17" customFormat="false" ht="15" hidden="false" customHeight="true" outlineLevel="0" collapsed="false">
      <c r="A17" s="26" t="s">
        <v>57</v>
      </c>
      <c r="B17" s="30" t="n">
        <f aca="false">SUM(B13:B16)</f>
        <v>209547</v>
      </c>
      <c r="C17" s="28" t="s">
        <v>39</v>
      </c>
      <c r="D17" s="31"/>
    </row>
    <row r="18" customFormat="false" ht="15" hidden="false" customHeight="true" outlineLevel="0" collapsed="false">
      <c r="A18" s="26" t="s">
        <v>58</v>
      </c>
      <c r="B18" s="30" t="n">
        <f aca="false">B17-B8</f>
        <v>84547</v>
      </c>
      <c r="C18" s="28" t="s">
        <v>39</v>
      </c>
      <c r="D18" s="31"/>
    </row>
    <row r="19" customFormat="false" ht="15" hidden="false" customHeight="true" outlineLevel="0" collapsed="false">
      <c r="A19" s="26" t="s">
        <v>59</v>
      </c>
      <c r="B19" s="30" t="n">
        <f aca="false">B17-B11</f>
        <v>-40453</v>
      </c>
      <c r="C19" s="28" t="s">
        <v>39</v>
      </c>
      <c r="D19" s="31"/>
    </row>
    <row r="20" customFormat="false" ht="15" hidden="false" customHeight="true" outlineLevel="0" collapsed="false">
      <c r="A20" s="26" t="s">
        <v>60</v>
      </c>
      <c r="B20" s="30" t="n">
        <f aca="false">B17-B12</f>
        <v>-90453</v>
      </c>
      <c r="C20" s="28" t="s">
        <v>39</v>
      </c>
      <c r="D20" s="31"/>
    </row>
    <row r="21" customFormat="false" ht="15" hidden="false" customHeight="true" outlineLevel="0" collapsed="false">
      <c r="A21" s="26" t="s">
        <v>62</v>
      </c>
      <c r="B21" s="30" t="n">
        <f aca="false">B18-B9</f>
        <v>-40453</v>
      </c>
      <c r="C21" s="28" t="s">
        <v>39</v>
      </c>
      <c r="D21" s="28" t="s">
        <v>121</v>
      </c>
    </row>
    <row r="22" customFormat="false" ht="15" hidden="false" customHeight="true" outlineLevel="0" collapsed="false">
      <c r="A22" s="26" t="s">
        <v>63</v>
      </c>
      <c r="B22" s="30" t="n">
        <f aca="false">B18-B10</f>
        <v>-90453</v>
      </c>
      <c r="C22" s="28" t="s">
        <v>39</v>
      </c>
      <c r="D22" s="31"/>
    </row>
    <row r="24" customFormat="false" ht="15" hidden="false" customHeight="true" outlineLevel="0" collapsed="false">
      <c r="A24" s="23" t="s">
        <v>64</v>
      </c>
      <c r="B24" s="24"/>
      <c r="C24" s="24"/>
      <c r="D24" s="24"/>
    </row>
    <row r="25" customFormat="false" ht="15" hidden="false" customHeight="true" outlineLevel="0" collapsed="false">
      <c r="A25" s="25" t="s">
        <v>28</v>
      </c>
      <c r="B25" s="25" t="s">
        <v>29</v>
      </c>
      <c r="C25" s="25" t="s">
        <v>30</v>
      </c>
      <c r="D25" s="25" t="s">
        <v>31</v>
      </c>
    </row>
    <row r="26" customFormat="false" ht="15" hidden="false" customHeight="true" outlineLevel="0" collapsed="false">
      <c r="A26" s="26" t="s">
        <v>65</v>
      </c>
      <c r="B26" s="32" t="s">
        <v>66</v>
      </c>
      <c r="C26" s="28" t="s">
        <v>67</v>
      </c>
      <c r="D26" s="28" t="s">
        <v>68</v>
      </c>
    </row>
    <row r="28" customFormat="false" ht="15" hidden="false" customHeight="true" outlineLevel="0" collapsed="false">
      <c r="A28" s="23" t="s">
        <v>69</v>
      </c>
      <c r="B28" s="24"/>
      <c r="C28" s="24"/>
      <c r="D28" s="24"/>
    </row>
    <row r="29" customFormat="false" ht="15" hidden="false" customHeight="true" outlineLevel="0" collapsed="false">
      <c r="A29" s="25" t="s">
        <v>28</v>
      </c>
      <c r="B29" s="25" t="s">
        <v>29</v>
      </c>
      <c r="C29" s="25" t="s">
        <v>30</v>
      </c>
      <c r="D29" s="25" t="s">
        <v>31</v>
      </c>
    </row>
    <row r="30" customFormat="false" ht="15" hidden="false" customHeight="true" outlineLevel="0" collapsed="false">
      <c r="A30" s="26" t="s">
        <v>122</v>
      </c>
      <c r="B30" s="27" t="n">
        <v>60000</v>
      </c>
      <c r="C30" s="28" t="s">
        <v>33</v>
      </c>
      <c r="D30" s="28" t="s">
        <v>123</v>
      </c>
    </row>
    <row r="31" customFormat="false" ht="15" hidden="false" customHeight="true" outlineLevel="0" collapsed="false">
      <c r="A31" s="26" t="s">
        <v>124</v>
      </c>
      <c r="B31" s="27" t="n">
        <v>20000</v>
      </c>
      <c r="C31" s="28" t="s">
        <v>33</v>
      </c>
      <c r="D31" s="31"/>
    </row>
    <row r="32" customFormat="false" ht="15" hidden="false" customHeight="true" outlineLevel="0" collapsed="false">
      <c r="A32" s="26" t="s">
        <v>73</v>
      </c>
      <c r="B32" s="30" t="n">
        <f aca="false">SUM(B30:B31)</f>
        <v>80000</v>
      </c>
      <c r="C32" s="28" t="s">
        <v>39</v>
      </c>
      <c r="D32" s="31"/>
    </row>
    <row r="33" customFormat="false" ht="15" hidden="false" customHeight="true" outlineLevel="0" collapsed="false">
      <c r="A33" s="26" t="s">
        <v>125</v>
      </c>
      <c r="B33" s="33" t="n">
        <f aca="false">B30/B32</f>
        <v>0.75</v>
      </c>
      <c r="C33" s="28" t="s">
        <v>39</v>
      </c>
      <c r="D33" s="31"/>
    </row>
    <row r="34" customFormat="false" ht="15" hidden="false" customHeight="true" outlineLevel="0" collapsed="false">
      <c r="A34" s="26" t="s">
        <v>126</v>
      </c>
      <c r="B34" s="33" t="n">
        <f aca="false">B31/B32</f>
        <v>0.25</v>
      </c>
      <c r="C34" s="28" t="s">
        <v>39</v>
      </c>
      <c r="D34" s="31"/>
    </row>
    <row r="35" customFormat="false" ht="15" hidden="false" customHeight="true" outlineLevel="0" collapsed="false">
      <c r="A35" s="26" t="s">
        <v>77</v>
      </c>
      <c r="B35" s="32" t="s">
        <v>78</v>
      </c>
      <c r="C35" s="28" t="s">
        <v>33</v>
      </c>
      <c r="D35" s="28" t="s">
        <v>127</v>
      </c>
    </row>
    <row r="37" customFormat="false" ht="15" hidden="false" customHeight="true" outlineLevel="0" collapsed="false">
      <c r="A37" s="23" t="s">
        <v>80</v>
      </c>
      <c r="B37" s="24"/>
      <c r="C37" s="24"/>
      <c r="D37" s="24"/>
    </row>
    <row r="38" customFormat="false" ht="15" hidden="false" customHeight="true" outlineLevel="0" collapsed="false">
      <c r="A38" s="25" t="s">
        <v>28</v>
      </c>
      <c r="B38" s="25" t="s">
        <v>29</v>
      </c>
      <c r="C38" s="25" t="s">
        <v>30</v>
      </c>
      <c r="D38" s="25" t="s">
        <v>31</v>
      </c>
    </row>
    <row r="39" customFormat="false" ht="15" hidden="false" customHeight="true" outlineLevel="0" collapsed="false">
      <c r="A39" s="26" t="s">
        <v>128</v>
      </c>
      <c r="B39" s="27" t="n">
        <v>2227928</v>
      </c>
      <c r="C39" s="28" t="s">
        <v>115</v>
      </c>
      <c r="D39" s="31"/>
    </row>
    <row r="40" customFormat="false" ht="15" hidden="false" customHeight="true" outlineLevel="0" collapsed="false">
      <c r="A40" s="26" t="s">
        <v>129</v>
      </c>
      <c r="B40" s="34" t="n">
        <f aca="false">B60+B61</f>
        <v>1171556</v>
      </c>
      <c r="C40" s="28" t="s">
        <v>115</v>
      </c>
      <c r="D40" s="28" t="s">
        <v>130</v>
      </c>
    </row>
    <row r="41" customFormat="false" ht="15" hidden="false" customHeight="true" outlineLevel="0" collapsed="false">
      <c r="A41" s="26" t="s">
        <v>131</v>
      </c>
      <c r="B41" s="34" t="n">
        <f aca="false">SUM(B52:B54)</f>
        <v>533898</v>
      </c>
      <c r="C41" s="28" t="s">
        <v>115</v>
      </c>
      <c r="D41" s="31"/>
    </row>
    <row r="42" customFormat="false" ht="15" hidden="false" customHeight="true" outlineLevel="0" collapsed="false">
      <c r="A42" s="26" t="s">
        <v>132</v>
      </c>
      <c r="B42" s="27" t="n">
        <v>130983</v>
      </c>
      <c r="C42" s="28" t="s">
        <v>115</v>
      </c>
      <c r="D42" s="31"/>
    </row>
    <row r="43" customFormat="false" ht="15" hidden="false" customHeight="true" outlineLevel="0" collapsed="false">
      <c r="A43" s="26" t="s">
        <v>133</v>
      </c>
      <c r="B43" s="34" t="n">
        <f aca="false">B17</f>
        <v>209547</v>
      </c>
      <c r="C43" s="28" t="s">
        <v>134</v>
      </c>
      <c r="D43" s="28" t="s">
        <v>135</v>
      </c>
    </row>
    <row r="44" customFormat="false" ht="15" hidden="false" customHeight="true" outlineLevel="0" collapsed="false">
      <c r="A44" s="35" t="s">
        <v>87</v>
      </c>
      <c r="B44" s="36" t="n">
        <f aca="false">SUM(B39:B43)</f>
        <v>4273912</v>
      </c>
      <c r="C44" s="37" t="s">
        <v>39</v>
      </c>
      <c r="D44" s="38"/>
    </row>
    <row r="45" customFormat="false" ht="15" hidden="false" customHeight="true" outlineLevel="0" collapsed="false">
      <c r="A45" s="26" t="s">
        <v>136</v>
      </c>
      <c r="B45" s="33" t="n">
        <f aca="false">B39/B44</f>
        <v>0.521285417200916</v>
      </c>
      <c r="C45" s="28" t="s">
        <v>39</v>
      </c>
      <c r="D45" s="31"/>
    </row>
    <row r="46" customFormat="false" ht="15" hidden="false" customHeight="true" outlineLevel="0" collapsed="false">
      <c r="A46" s="26" t="s">
        <v>137</v>
      </c>
      <c r="B46" s="33" t="n">
        <f aca="false">B40/B44</f>
        <v>0.274117950954535</v>
      </c>
      <c r="C46" s="28" t="s">
        <v>39</v>
      </c>
      <c r="D46" s="31"/>
    </row>
    <row r="47" customFormat="false" ht="15" hidden="false" customHeight="true" outlineLevel="0" collapsed="false">
      <c r="A47" s="26" t="s">
        <v>138</v>
      </c>
      <c r="B47" s="33" t="n">
        <f aca="false">B41/B44</f>
        <v>0.12492021361226</v>
      </c>
      <c r="C47" s="28" t="s">
        <v>39</v>
      </c>
      <c r="D47" s="31"/>
    </row>
    <row r="48" customFormat="false" ht="15" hidden="false" customHeight="true" outlineLevel="0" collapsed="false">
      <c r="A48" s="26" t="s">
        <v>90</v>
      </c>
      <c r="B48" s="33" t="n">
        <f aca="false">B42/B44</f>
        <v>0.030647098021672</v>
      </c>
      <c r="C48" s="28" t="s">
        <v>39</v>
      </c>
      <c r="D48" s="31"/>
    </row>
    <row r="49" customFormat="false" ht="15" hidden="false" customHeight="true" outlineLevel="0" collapsed="false">
      <c r="A49" s="26" t="s">
        <v>139</v>
      </c>
      <c r="B49" s="33" t="n">
        <f aca="false">B43/B44</f>
        <v>0.0490293202106173</v>
      </c>
      <c r="C49" s="28" t="s">
        <v>39</v>
      </c>
      <c r="D49" s="31"/>
    </row>
    <row r="51" customFormat="false" ht="15" hidden="false" customHeight="true" outlineLevel="0" collapsed="false">
      <c r="A51" s="39" t="s">
        <v>140</v>
      </c>
    </row>
    <row r="52" customFormat="false" ht="15" hidden="false" customHeight="true" outlineLevel="0" collapsed="false">
      <c r="A52" s="26" t="s">
        <v>141</v>
      </c>
      <c r="B52" s="27" t="n">
        <v>360168</v>
      </c>
      <c r="C52" s="28" t="s">
        <v>33</v>
      </c>
      <c r="D52" s="31"/>
    </row>
    <row r="53" customFormat="false" ht="15" hidden="false" customHeight="true" outlineLevel="0" collapsed="false">
      <c r="A53" s="26" t="s">
        <v>142</v>
      </c>
      <c r="B53" s="27" t="n">
        <v>122000</v>
      </c>
      <c r="C53" s="28" t="s">
        <v>33</v>
      </c>
      <c r="D53" s="31"/>
    </row>
    <row r="54" customFormat="false" ht="15" hidden="false" customHeight="true" outlineLevel="0" collapsed="false">
      <c r="A54" s="26" t="s">
        <v>143</v>
      </c>
      <c r="B54" s="27" t="n">
        <v>51730</v>
      </c>
      <c r="C54" s="28" t="s">
        <v>33</v>
      </c>
      <c r="D54" s="31"/>
    </row>
    <row r="55" customFormat="false" ht="15" hidden="false" customHeight="true" outlineLevel="0" collapsed="false">
      <c r="A55" s="26" t="s">
        <v>144</v>
      </c>
      <c r="B55" s="33" t="n">
        <f aca="false">B52/B41</f>
        <v>0.674600766438533</v>
      </c>
      <c r="C55" s="28" t="s">
        <v>39</v>
      </c>
      <c r="D55" s="31"/>
    </row>
    <row r="56" customFormat="false" ht="15" hidden="false" customHeight="true" outlineLevel="0" collapsed="false">
      <c r="A56" s="26" t="s">
        <v>145</v>
      </c>
      <c r="B56" s="33" t="n">
        <f aca="false">B53/B41</f>
        <v>0.228508067083975</v>
      </c>
      <c r="C56" s="28" t="s">
        <v>39</v>
      </c>
      <c r="D56" s="31"/>
    </row>
    <row r="57" customFormat="false" ht="15" hidden="false" customHeight="true" outlineLevel="0" collapsed="false">
      <c r="A57" s="26" t="s">
        <v>146</v>
      </c>
      <c r="B57" s="33" t="n">
        <f aca="false">B54/B41</f>
        <v>0.096891166477492</v>
      </c>
      <c r="C57" s="28" t="s">
        <v>39</v>
      </c>
      <c r="D57" s="31"/>
    </row>
    <row r="58" customFormat="false" ht="15" hidden="false" customHeight="true" outlineLevel="0" collapsed="false"/>
    <row r="59" customFormat="false" ht="15" hidden="false" customHeight="true" outlineLevel="0" collapsed="false">
      <c r="A59" s="39" t="s">
        <v>147</v>
      </c>
    </row>
    <row r="60" customFormat="false" ht="15" hidden="false" customHeight="true" outlineLevel="0" collapsed="false">
      <c r="A60" s="26" t="s">
        <v>148</v>
      </c>
      <c r="B60" s="27" t="n">
        <v>763308</v>
      </c>
    </row>
    <row r="61" customFormat="false" ht="15" hidden="false" customHeight="true" outlineLevel="0" collapsed="false">
      <c r="A61" s="26" t="s">
        <v>149</v>
      </c>
      <c r="B61" s="27" t="n">
        <v>408248</v>
      </c>
    </row>
    <row r="62" customFormat="false" ht="15" hidden="false" customHeight="true" outlineLevel="0" collapsed="false">
      <c r="A62" s="26" t="s">
        <v>150</v>
      </c>
      <c r="B62" s="33" t="n">
        <f aca="false">B60/B40</f>
        <v>0.651533516110199</v>
      </c>
    </row>
    <row r="63" customFormat="false" ht="15" hidden="false" customHeight="true" outlineLevel="0" collapsed="false">
      <c r="A63" s="26" t="s">
        <v>151</v>
      </c>
      <c r="B63" s="33" t="n">
        <f aca="false">B61/B40</f>
        <v>0.348466483889801</v>
      </c>
    </row>
    <row r="64" customFormat="false" ht="24.75" hidden="false" customHeight="true" outlineLevel="0" collapsed="false">
      <c r="A64" s="26" t="s">
        <v>93</v>
      </c>
      <c r="B64" s="32" t="s">
        <v>78</v>
      </c>
      <c r="C64" s="28" t="s">
        <v>33</v>
      </c>
      <c r="D64" s="28" t="s">
        <v>152</v>
      </c>
    </row>
    <row r="65" customFormat="false" ht="15" hidden="false" customHeight="true" outlineLevel="0" collapsed="false"/>
    <row r="66" customFormat="false" ht="15" hidden="false" customHeight="true" outlineLevel="0" collapsed="false">
      <c r="A66" s="23" t="s">
        <v>95</v>
      </c>
      <c r="B66" s="24"/>
      <c r="C66" s="24"/>
      <c r="D66" s="24"/>
    </row>
    <row r="67" customFormat="false" ht="15" hidden="false" customHeight="true" outlineLevel="0" collapsed="false">
      <c r="A67" s="25" t="s">
        <v>28</v>
      </c>
      <c r="B67" s="25" t="s">
        <v>29</v>
      </c>
      <c r="C67" s="25" t="s">
        <v>30</v>
      </c>
      <c r="D67" s="25" t="s">
        <v>31</v>
      </c>
    </row>
    <row r="68" customFormat="false" ht="15" hidden="false" customHeight="true" outlineLevel="0" collapsed="false">
      <c r="A68" s="26" t="s">
        <v>153</v>
      </c>
      <c r="B68" s="32" t="s">
        <v>154</v>
      </c>
      <c r="C68" s="28" t="s">
        <v>155</v>
      </c>
      <c r="D68" s="28" t="s">
        <v>156</v>
      </c>
    </row>
    <row r="69" customFormat="false" ht="15" hidden="false" customHeight="true" outlineLevel="0" collapsed="false">
      <c r="A69" s="26" t="s">
        <v>157</v>
      </c>
      <c r="B69" s="40" t="n">
        <f aca="true">DATE(2026,9,29)-TODAY()</f>
        <v>-26</v>
      </c>
      <c r="C69" s="28" t="s">
        <v>39</v>
      </c>
      <c r="D69" s="31"/>
    </row>
    <row r="70" customFormat="false" ht="15" hidden="false" customHeight="true" outlineLevel="0" collapsed="false">
      <c r="A70" s="26" t="s">
        <v>158</v>
      </c>
      <c r="B70" s="32" t="s">
        <v>159</v>
      </c>
      <c r="C70" s="28" t="s">
        <v>155</v>
      </c>
      <c r="D70" s="28" t="s">
        <v>160</v>
      </c>
    </row>
    <row r="71" customFormat="false" ht="30" hidden="false" customHeight="true" outlineLevel="0" collapsed="false">
      <c r="A71" s="26" t="s">
        <v>157</v>
      </c>
      <c r="B71" s="40" t="s">
        <v>161</v>
      </c>
      <c r="C71" s="28" t="s">
        <v>33</v>
      </c>
      <c r="D71" s="28" t="s">
        <v>162</v>
      </c>
    </row>
    <row r="72" customFormat="false" ht="15" hidden="false" customHeight="true" outlineLevel="0" collapsed="false"/>
    <row r="73" customFormat="false" ht="15" hidden="false" customHeight="true" outlineLevel="0" collapsed="false">
      <c r="A73" s="26" t="s">
        <v>99</v>
      </c>
      <c r="B73" s="32" t="s">
        <v>100</v>
      </c>
      <c r="C73" s="28" t="s">
        <v>33</v>
      </c>
      <c r="D73" s="28" t="s">
        <v>163</v>
      </c>
    </row>
    <row r="75" customFormat="false" ht="15" hidden="false" customHeight="true" outlineLevel="0" collapsed="false">
      <c r="A75" s="23" t="s">
        <v>102</v>
      </c>
      <c r="B75" s="24"/>
      <c r="C75" s="24"/>
      <c r="D75" s="24"/>
    </row>
    <row r="76" customFormat="false" ht="15" hidden="false" customHeight="true" outlineLevel="0" collapsed="false">
      <c r="A76" s="25" t="s">
        <v>28</v>
      </c>
      <c r="B76" s="25" t="s">
        <v>29</v>
      </c>
      <c r="C76" s="25" t="s">
        <v>30</v>
      </c>
      <c r="D76" s="25" t="s">
        <v>31</v>
      </c>
    </row>
    <row r="77" customFormat="false" ht="63.75" hidden="false" customHeight="true" outlineLevel="0" collapsed="false">
      <c r="A77" s="26" t="s">
        <v>164</v>
      </c>
      <c r="B77" s="27" t="n">
        <f aca="false">B40</f>
        <v>1171556</v>
      </c>
      <c r="C77" s="28" t="s">
        <v>33</v>
      </c>
      <c r="D77" s="28" t="s">
        <v>165</v>
      </c>
    </row>
    <row r="78" customFormat="false" ht="31.5" hidden="false" customHeight="true" outlineLevel="0" collapsed="false">
      <c r="A78" s="26" t="s">
        <v>103</v>
      </c>
      <c r="B78" s="27" t="n">
        <v>-162000</v>
      </c>
      <c r="C78" s="28" t="s">
        <v>166</v>
      </c>
      <c r="D78" s="28" t="s">
        <v>167</v>
      </c>
    </row>
    <row r="79" customFormat="false" ht="48" hidden="false" customHeight="true" outlineLevel="0" collapsed="false">
      <c r="A79" s="26" t="s">
        <v>105</v>
      </c>
      <c r="B79" s="32" t="s">
        <v>106</v>
      </c>
      <c r="C79" s="28" t="s">
        <v>33</v>
      </c>
      <c r="D79" s="28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I24" activeCellId="0" sqref="I24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21" width="20"/>
    <col collapsed="false" customWidth="true" hidden="false" outlineLevel="0" max="2" min="2" style="21" width="50.67"/>
    <col collapsed="false" customWidth="true" hidden="false" outlineLevel="0" max="3" min="3" style="21" width="15"/>
    <col collapsed="false" customWidth="true" hidden="false" outlineLevel="0" max="5" min="4" style="21" width="13"/>
    <col collapsed="false" customWidth="true" hidden="false" outlineLevel="0" max="6" min="6" style="21" width="50"/>
    <col collapsed="false" customWidth="false" hidden="false" outlineLevel="0" max="16384" min="7" style="21" width="8.67"/>
  </cols>
  <sheetData>
    <row r="1" customFormat="false" ht="16.5" hidden="false" customHeight="true" outlineLevel="0" collapsed="false">
      <c r="A1" s="41" t="s">
        <v>169</v>
      </c>
      <c r="B1" s="41"/>
      <c r="C1" s="41"/>
      <c r="D1" s="41"/>
      <c r="E1" s="41"/>
      <c r="F1" s="41"/>
    </row>
    <row r="2" customFormat="false" ht="15" hidden="false" customHeight="true" outlineLevel="0" collapsed="false">
      <c r="A2" s="42" t="s">
        <v>170</v>
      </c>
      <c r="B2" s="42"/>
      <c r="C2" s="42"/>
      <c r="D2" s="42"/>
      <c r="E2" s="42"/>
      <c r="F2" s="42"/>
    </row>
    <row r="4" customFormat="false" ht="21" hidden="false" customHeight="true" outlineLevel="0" collapsed="false">
      <c r="A4" s="43" t="s">
        <v>171</v>
      </c>
      <c r="B4" s="43"/>
      <c r="C4" s="43"/>
      <c r="D4" s="43"/>
      <c r="E4" s="43"/>
      <c r="F4" s="43"/>
    </row>
    <row r="5" customFormat="false" ht="15" hidden="false" customHeight="true" outlineLevel="0" collapsed="false">
      <c r="A5" s="44" t="s">
        <v>172</v>
      </c>
      <c r="B5" s="44" t="s">
        <v>173</v>
      </c>
      <c r="C5" s="44" t="s">
        <v>29</v>
      </c>
      <c r="D5" s="44" t="s">
        <v>174</v>
      </c>
      <c r="E5" s="44" t="s">
        <v>175</v>
      </c>
      <c r="F5" s="44" t="s">
        <v>31</v>
      </c>
    </row>
    <row r="6" customFormat="false" ht="15" hidden="false" customHeight="true" outlineLevel="0" collapsed="false">
      <c r="A6" s="45" t="s">
        <v>176</v>
      </c>
      <c r="B6" s="46" t="str">
        <f aca="false">AMS!A41</f>
        <v>Fondo Monetario</v>
      </c>
      <c r="C6" s="47" t="n">
        <f aca="false">AMS!B41</f>
        <v>84690</v>
      </c>
      <c r="D6" s="48"/>
      <c r="E6" s="49" t="s">
        <v>177</v>
      </c>
      <c r="F6" s="48"/>
    </row>
    <row r="7" customFormat="false" ht="15" hidden="false" customHeight="true" outlineLevel="0" collapsed="false">
      <c r="A7" s="45"/>
      <c r="B7" s="46" t="str">
        <f aca="false">AMS!A44</f>
        <v>Liquidez (excluido FM)</v>
      </c>
      <c r="C7" s="47" t="n">
        <f aca="false">AMS!B44</f>
        <v>107200</v>
      </c>
      <c r="D7" s="48"/>
      <c r="E7" s="49" t="s">
        <v>178</v>
      </c>
      <c r="F7" s="48"/>
    </row>
    <row r="8" customFormat="false" ht="39" hidden="false" customHeight="true" outlineLevel="0" collapsed="false">
      <c r="A8" s="50"/>
      <c r="B8" s="51" t="s">
        <v>179</v>
      </c>
      <c r="C8" s="52" t="n">
        <f aca="false">SUM(C6:C7)</f>
        <v>191890</v>
      </c>
      <c r="D8" s="53" t="n">
        <f aca="false">C8/C$15</f>
        <v>0.150656989780857</v>
      </c>
      <c r="E8" s="50"/>
      <c r="F8" s="50"/>
    </row>
    <row r="9" customFormat="false" ht="22.5" hidden="false" customHeight="true" outlineLevel="0" collapsed="false">
      <c r="A9" s="54" t="s">
        <v>180</v>
      </c>
      <c r="B9" s="55" t="str">
        <f aca="false">AMS!A40</f>
        <v>SP500 (fondos indexados)</v>
      </c>
      <c r="C9" s="56" t="n">
        <f aca="false">AMS!B40</f>
        <v>891003</v>
      </c>
      <c r="D9" s="57"/>
      <c r="E9" s="58" t="s">
        <v>181</v>
      </c>
      <c r="F9" s="57"/>
    </row>
    <row r="10" customFormat="false" ht="39.75" hidden="false" customHeight="true" outlineLevel="0" collapsed="false">
      <c r="A10" s="59"/>
      <c r="B10" s="60" t="s">
        <v>182</v>
      </c>
      <c r="C10" s="61" t="n">
        <f aca="false">C9</f>
        <v>891003</v>
      </c>
      <c r="D10" s="62" t="n">
        <f aca="false">C10/C$15</f>
        <v>0.699545728624278</v>
      </c>
      <c r="E10" s="59"/>
      <c r="F10" s="59"/>
    </row>
    <row r="11" customFormat="false" ht="15" hidden="false" customHeight="true" outlineLevel="0" collapsed="false">
      <c r="A11" s="63" t="s">
        <v>183</v>
      </c>
      <c r="B11" s="64" t="str">
        <f aca="false">AMS!A42</f>
        <v>ETF</v>
      </c>
      <c r="C11" s="65" t="n">
        <f aca="false">AMS!B42</f>
        <v>90795</v>
      </c>
      <c r="D11" s="66"/>
      <c r="E11" s="67" t="s">
        <v>184</v>
      </c>
      <c r="F11" s="66"/>
    </row>
    <row r="12" customFormat="false" ht="15" hidden="false" customHeight="true" outlineLevel="0" collapsed="false">
      <c r="A12" s="63"/>
      <c r="B12" s="64" t="str">
        <f aca="false">AMS!A43</f>
        <v>Pisos</v>
      </c>
      <c r="C12" s="65" t="n">
        <f aca="false">AMS!B43</f>
        <v>100000</v>
      </c>
      <c r="D12" s="66"/>
      <c r="E12" s="67" t="s">
        <v>185</v>
      </c>
      <c r="F12" s="66"/>
    </row>
    <row r="13" customFormat="false" ht="30.75" hidden="false" customHeight="true" outlineLevel="0" collapsed="false">
      <c r="A13" s="68"/>
      <c r="B13" s="69" t="s">
        <v>186</v>
      </c>
      <c r="C13" s="70" t="n">
        <f aca="false">SUM(C11:C12)</f>
        <v>190795</v>
      </c>
      <c r="D13" s="71" t="n">
        <f aca="false">C13/C$15</f>
        <v>0.149797281594865</v>
      </c>
      <c r="E13" s="68"/>
      <c r="F13" s="68"/>
    </row>
    <row r="15" customFormat="false" ht="15" hidden="false" customHeight="true" outlineLevel="0" collapsed="false">
      <c r="A15" s="72" t="s">
        <v>187</v>
      </c>
      <c r="B15" s="72"/>
      <c r="C15" s="73" t="n">
        <f aca="false">C8+C10+C13</f>
        <v>1273688</v>
      </c>
      <c r="D15" s="74" t="n">
        <f aca="false">C15/C15</f>
        <v>1</v>
      </c>
      <c r="E15" s="75"/>
      <c r="F15" s="75"/>
    </row>
    <row r="16" customFormat="false" ht="25.5" hidden="false" customHeight="true" outlineLevel="0" collapsed="false">
      <c r="B16" s="76" t="s">
        <v>188</v>
      </c>
      <c r="C16" s="77" t="n">
        <f aca="false">C15-AMS!B45</f>
        <v>0</v>
      </c>
      <c r="F16" s="78" t="s">
        <v>189</v>
      </c>
    </row>
    <row r="19" customFormat="false" ht="21.75" hidden="false" customHeight="true" outlineLevel="0" collapsed="false">
      <c r="A19" s="43" t="s">
        <v>190</v>
      </c>
      <c r="B19" s="43"/>
      <c r="C19" s="43"/>
      <c r="D19" s="43"/>
      <c r="E19" s="43"/>
      <c r="F19" s="43"/>
    </row>
    <row r="20" customFormat="false" ht="15" hidden="false" customHeight="true" outlineLevel="0" collapsed="false">
      <c r="A20" s="44" t="s">
        <v>172</v>
      </c>
      <c r="B20" s="44" t="s">
        <v>173</v>
      </c>
      <c r="C20" s="44" t="s">
        <v>29</v>
      </c>
      <c r="D20" s="44" t="s">
        <v>174</v>
      </c>
      <c r="E20" s="44" t="s">
        <v>175</v>
      </c>
      <c r="F20" s="44" t="s">
        <v>31</v>
      </c>
    </row>
    <row r="21" customFormat="false" ht="25.5" hidden="false" customHeight="true" outlineLevel="0" collapsed="false">
      <c r="A21" s="45" t="s">
        <v>176</v>
      </c>
      <c r="B21" s="46" t="str">
        <f aca="false">AML!A43</f>
        <v>Liquidez + Depósitos + FM</v>
      </c>
      <c r="C21" s="47" t="n">
        <f aca="false">AML!B43</f>
        <v>209547</v>
      </c>
      <c r="D21" s="48"/>
      <c r="E21" s="49" t="s">
        <v>191</v>
      </c>
      <c r="F21" s="48"/>
    </row>
    <row r="22" customFormat="false" ht="24.75" hidden="false" customHeight="true" outlineLevel="0" collapsed="false">
      <c r="A22" s="50"/>
      <c r="B22" s="51" t="s">
        <v>179</v>
      </c>
      <c r="C22" s="52" t="n">
        <f aca="false">C21</f>
        <v>209547</v>
      </c>
      <c r="D22" s="53" t="n">
        <f aca="false">C22/C$30</f>
        <v>0.0490293202106173</v>
      </c>
      <c r="E22" s="50"/>
      <c r="F22" s="50"/>
    </row>
    <row r="23" customFormat="false" ht="33" hidden="false" customHeight="true" outlineLevel="0" collapsed="false">
      <c r="A23" s="54" t="s">
        <v>180</v>
      </c>
      <c r="B23" s="55" t="str">
        <f aca="false">AML!A39</f>
        <v>Fondos RV</v>
      </c>
      <c r="C23" s="56" t="n">
        <f aca="false">AML!B39</f>
        <v>2227928</v>
      </c>
      <c r="D23" s="57"/>
      <c r="E23" s="58" t="s">
        <v>192</v>
      </c>
      <c r="F23" s="57"/>
    </row>
    <row r="24" customFormat="false" ht="45.75" hidden="false" customHeight="true" outlineLevel="0" collapsed="false">
      <c r="A24" s="54"/>
      <c r="B24" s="55" t="str">
        <f aca="false">AML!A40</f>
        <v>Planes de Pensiones (Papá + Mamá)</v>
      </c>
      <c r="C24" s="56" t="n">
        <f aca="false">AML!B40</f>
        <v>1171556</v>
      </c>
      <c r="D24" s="57"/>
      <c r="E24" s="58" t="s">
        <v>193</v>
      </c>
      <c r="F24" s="79" t="s">
        <v>194</v>
      </c>
    </row>
    <row r="25" customFormat="false" ht="28.5" hidden="false" customHeight="true" outlineLevel="0" collapsed="false">
      <c r="A25" s="59"/>
      <c r="B25" s="60" t="s">
        <v>182</v>
      </c>
      <c r="C25" s="61" t="n">
        <f aca="false">SUM(C23:C24)</f>
        <v>3399484</v>
      </c>
      <c r="D25" s="62" t="n">
        <f aca="false">C25/C$30</f>
        <v>0.795403368155451</v>
      </c>
      <c r="E25" s="59"/>
      <c r="F25" s="59"/>
    </row>
    <row r="26" customFormat="false" ht="30" hidden="false" customHeight="true" outlineLevel="0" collapsed="false">
      <c r="A26" s="63" t="s">
        <v>183</v>
      </c>
      <c r="B26" s="64" t="str">
        <f aca="false">AML!A41</f>
        <v>Acciones (Iberdrola + BBVA + TEF)</v>
      </c>
      <c r="C26" s="65" t="n">
        <f aca="false">AML!B41</f>
        <v>533898</v>
      </c>
      <c r="D26" s="66"/>
      <c r="E26" s="67" t="s">
        <v>195</v>
      </c>
      <c r="F26" s="80" t="s">
        <v>196</v>
      </c>
    </row>
    <row r="27" customFormat="false" ht="31.5" hidden="false" customHeight="true" outlineLevel="0" collapsed="false">
      <c r="A27" s="63"/>
      <c r="B27" s="64" t="str">
        <f aca="false">AML!A42</f>
        <v>ETF (Aristócratas)</v>
      </c>
      <c r="C27" s="65" t="n">
        <f aca="false">AML!B42</f>
        <v>130983</v>
      </c>
      <c r="D27" s="66"/>
      <c r="E27" s="67" t="s">
        <v>197</v>
      </c>
      <c r="F27" s="66"/>
    </row>
    <row r="28" customFormat="false" ht="27.75" hidden="false" customHeight="true" outlineLevel="0" collapsed="false">
      <c r="A28" s="68"/>
      <c r="B28" s="69" t="s">
        <v>186</v>
      </c>
      <c r="C28" s="70" t="n">
        <f aca="false">SUM(C26:C27)</f>
        <v>664881</v>
      </c>
      <c r="D28" s="71" t="n">
        <f aca="false">C28/C$30</f>
        <v>0.155567311633932</v>
      </c>
      <c r="E28" s="68"/>
      <c r="F28" s="68"/>
    </row>
    <row r="30" customFormat="false" ht="15" hidden="false" customHeight="true" outlineLevel="0" collapsed="false">
      <c r="A30" s="72" t="s">
        <v>198</v>
      </c>
      <c r="B30" s="72"/>
      <c r="C30" s="73" t="n">
        <f aca="false">C22+C25+C28</f>
        <v>4273912</v>
      </c>
      <c r="D30" s="74" t="n">
        <f aca="false">C30/C30</f>
        <v>1</v>
      </c>
      <c r="E30" s="75"/>
      <c r="F30" s="75"/>
    </row>
    <row r="31" customFormat="false" ht="25.5" hidden="false" customHeight="true" outlineLevel="0" collapsed="false">
      <c r="B31" s="76" t="s">
        <v>188</v>
      </c>
      <c r="C31" s="77" t="n">
        <f aca="false">C30-AML!B44</f>
        <v>0</v>
      </c>
      <c r="F31" s="78" t="s">
        <v>189</v>
      </c>
    </row>
    <row r="33" customFormat="false" ht="15" hidden="false" customHeight="true" outlineLevel="0" collapsed="false">
      <c r="A33" s="81" t="s">
        <v>199</v>
      </c>
      <c r="B33" s="81"/>
      <c r="C33" s="81"/>
      <c r="D33" s="81"/>
      <c r="E33" s="81"/>
      <c r="F33" s="81"/>
    </row>
    <row r="34" customFormat="false" ht="15" hidden="false" customHeight="true" outlineLevel="0" collapsed="false">
      <c r="A34" s="81"/>
      <c r="B34" s="81"/>
      <c r="C34" s="81"/>
      <c r="D34" s="81"/>
      <c r="E34" s="81"/>
      <c r="F34" s="81"/>
    </row>
    <row r="35" customFormat="false" ht="15" hidden="false" customHeight="true" outlineLevel="0" collapsed="false">
      <c r="A35" s="81"/>
      <c r="B35" s="81"/>
      <c r="C35" s="81"/>
      <c r="D35" s="81"/>
      <c r="E35" s="81"/>
      <c r="F35" s="81"/>
    </row>
  </sheetData>
  <mergeCells count="11">
    <mergeCell ref="A1:F1"/>
    <mergeCell ref="A2:F2"/>
    <mergeCell ref="A4:F4"/>
    <mergeCell ref="A6:A7"/>
    <mergeCell ref="A11:A12"/>
    <mergeCell ref="A15:B15"/>
    <mergeCell ref="A19:F19"/>
    <mergeCell ref="A23:A24"/>
    <mergeCell ref="A26:A27"/>
    <mergeCell ref="A30:B30"/>
    <mergeCell ref="A33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false" showRowColHeaders="true" showZeros="true" rightToLeft="false" tabSelected="false" showOutlineSymbols="true" defaultGridColor="true" view="normal" topLeftCell="A44" colorId="64" zoomScale="110" zoomScaleNormal="110" zoomScalePageLayoutView="100" workbookViewId="0">
      <selection pane="topLeft" activeCell="D57" activeCellId="0" sqref="D57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82" width="42"/>
    <col collapsed="false" customWidth="true" hidden="false" outlineLevel="0" max="2" min="2" style="82" width="16"/>
    <col collapsed="false" customWidth="true" hidden="false" outlineLevel="0" max="3" min="3" style="82" width="23.16"/>
    <col collapsed="false" customWidth="true" hidden="false" outlineLevel="0" max="4" min="4" style="82" width="15.66"/>
    <col collapsed="false" customWidth="true" hidden="false" outlineLevel="0" max="5" min="5" style="82" width="10.83"/>
    <col collapsed="false" customWidth="true" hidden="false" outlineLevel="0" max="7" min="6" style="82" width="15"/>
    <col collapsed="false" customWidth="true" hidden="false" outlineLevel="0" max="8" min="8" style="82" width="49.51"/>
    <col collapsed="false" customWidth="false" hidden="false" outlineLevel="0" max="16384" min="9" style="82" width="8.83"/>
  </cols>
  <sheetData>
    <row r="1" customFormat="false" ht="21.75" hidden="false" customHeight="true" outlineLevel="0" collapsed="false">
      <c r="A1" s="41" t="s">
        <v>200</v>
      </c>
      <c r="B1" s="41"/>
      <c r="C1" s="41"/>
      <c r="D1" s="41"/>
      <c r="E1" s="41"/>
      <c r="F1" s="41"/>
      <c r="G1" s="41"/>
      <c r="H1" s="41"/>
    </row>
    <row r="2" customFormat="false" ht="45" hidden="false" customHeight="true" outlineLevel="0" collapsed="false">
      <c r="A2" s="83" t="s">
        <v>201</v>
      </c>
      <c r="B2" s="83"/>
      <c r="C2" s="83"/>
      <c r="D2" s="83"/>
      <c r="E2" s="83"/>
      <c r="F2" s="83"/>
      <c r="G2" s="83"/>
      <c r="H2" s="83"/>
    </row>
    <row r="4" customFormat="false" ht="19.5" hidden="false" customHeight="true" outlineLevel="0" collapsed="false">
      <c r="A4" s="43" t="s">
        <v>202</v>
      </c>
      <c r="B4" s="43"/>
      <c r="C4" s="43"/>
      <c r="D4" s="43"/>
      <c r="E4" s="43"/>
      <c r="F4" s="43"/>
      <c r="G4" s="43"/>
      <c r="H4" s="43"/>
    </row>
    <row r="5" customFormat="false" ht="19.5" hidden="false" customHeight="true" outlineLevel="0" collapsed="false">
      <c r="A5" s="84" t="s">
        <v>28</v>
      </c>
      <c r="B5" s="84" t="s">
        <v>29</v>
      </c>
      <c r="C5" s="84" t="s">
        <v>30</v>
      </c>
      <c r="D5" s="85" t="s">
        <v>31</v>
      </c>
      <c r="E5" s="85"/>
      <c r="F5" s="85"/>
      <c r="G5" s="85"/>
      <c r="H5" s="85"/>
    </row>
    <row r="6" customFormat="false" ht="42.75" hidden="false" customHeight="true" outlineLevel="0" collapsed="false">
      <c r="A6" s="86" t="s">
        <v>203</v>
      </c>
      <c r="B6" s="87" t="n">
        <v>0.07</v>
      </c>
      <c r="C6" s="86" t="s">
        <v>33</v>
      </c>
      <c r="D6" s="88" t="s">
        <v>204</v>
      </c>
      <c r="E6" s="88"/>
      <c r="F6" s="88"/>
      <c r="G6" s="88"/>
      <c r="H6" s="88"/>
    </row>
    <row r="7" customFormat="false" ht="45" hidden="false" customHeight="true" outlineLevel="0" collapsed="false">
      <c r="A7" s="86" t="s">
        <v>205</v>
      </c>
      <c r="B7" s="87" t="n">
        <v>0.094</v>
      </c>
      <c r="C7" s="86" t="s">
        <v>33</v>
      </c>
      <c r="D7" s="88" t="s">
        <v>206</v>
      </c>
      <c r="E7" s="88"/>
      <c r="F7" s="88"/>
      <c r="G7" s="88"/>
      <c r="H7" s="88"/>
    </row>
    <row r="8" customFormat="false" ht="19.5" hidden="false" customHeight="true" outlineLevel="0" collapsed="false"/>
    <row r="9" customFormat="false" ht="19.5" hidden="false" customHeight="true" outlineLevel="0" collapsed="false">
      <c r="A9" s="43" t="s">
        <v>207</v>
      </c>
      <c r="B9" s="43"/>
      <c r="C9" s="43"/>
      <c r="D9" s="43"/>
      <c r="E9" s="43"/>
      <c r="F9" s="43"/>
      <c r="G9" s="43"/>
      <c r="H9" s="43"/>
    </row>
    <row r="10" customFormat="false" ht="19.5" hidden="false" customHeight="true" outlineLevel="0" collapsed="false">
      <c r="A10" s="89" t="s">
        <v>208</v>
      </c>
    </row>
    <row r="11" customFormat="false" ht="19.5" hidden="false" customHeight="true" outlineLevel="0" collapsed="false">
      <c r="A11" s="84" t="s">
        <v>28</v>
      </c>
      <c r="B11" s="84" t="s">
        <v>29</v>
      </c>
      <c r="C11" s="84" t="s">
        <v>30</v>
      </c>
      <c r="D11" s="85" t="s">
        <v>31</v>
      </c>
      <c r="E11" s="85"/>
      <c r="F11" s="85"/>
      <c r="G11" s="85"/>
      <c r="H11" s="85"/>
    </row>
    <row r="12" customFormat="false" ht="36" hidden="false" customHeight="true" outlineLevel="0" collapsed="false">
      <c r="A12" s="86" t="s">
        <v>209</v>
      </c>
      <c r="B12" s="90" t="n">
        <v>46387</v>
      </c>
      <c r="C12" s="86" t="s">
        <v>210</v>
      </c>
      <c r="D12" s="88" t="s">
        <v>211</v>
      </c>
      <c r="E12" s="88"/>
      <c r="F12" s="88"/>
      <c r="G12" s="88"/>
      <c r="H12" s="88"/>
    </row>
    <row r="13" customFormat="false" ht="33" hidden="false" customHeight="true" outlineLevel="0" collapsed="false">
      <c r="A13" s="89" t="s">
        <v>212</v>
      </c>
      <c r="B13" s="91"/>
      <c r="C13" s="86" t="s">
        <v>213</v>
      </c>
      <c r="D13" s="88" t="s">
        <v>214</v>
      </c>
      <c r="E13" s="88"/>
      <c r="F13" s="88"/>
      <c r="G13" s="88"/>
      <c r="H13" s="88"/>
    </row>
    <row r="14" customFormat="false" ht="19.5" hidden="false" customHeight="true" outlineLevel="0" collapsed="false"/>
    <row r="15" customFormat="false" ht="19.5" hidden="false" customHeight="true" outlineLevel="0" collapsed="false">
      <c r="A15" s="89" t="s">
        <v>215</v>
      </c>
    </row>
    <row r="16" customFormat="false" ht="19.5" hidden="false" customHeight="true" outlineLevel="0" collapsed="false">
      <c r="A16" s="92" t="s">
        <v>216</v>
      </c>
      <c r="B16" s="93" t="s">
        <v>217</v>
      </c>
      <c r="C16" s="93" t="s">
        <v>218</v>
      </c>
      <c r="D16" s="93" t="s">
        <v>219</v>
      </c>
      <c r="E16" s="94"/>
    </row>
    <row r="17" customFormat="false" ht="19.5" hidden="false" customHeight="true" outlineLevel="0" collapsed="false">
      <c r="A17" s="95" t="s">
        <v>220</v>
      </c>
      <c r="B17" s="96" t="str">
        <f aca="false">IF(OR($B$12="",$B$13=""),"",DATE(YEAR($B$12)+5,MONTH($B$12),DAY($B$12)))</f>
        <v/>
      </c>
      <c r="C17" s="97" t="str">
        <f aca="false">IF($B$13="","",$B$13*(1+$B$6)^5)</f>
        <v/>
      </c>
      <c r="D17" s="97" t="str">
        <f aca="false">IF($B$13="","",$B$13*(1+$B$7)^5)</f>
        <v/>
      </c>
      <c r="E17" s="94"/>
    </row>
    <row r="18" customFormat="false" ht="19.5" hidden="false" customHeight="true" outlineLevel="0" collapsed="false">
      <c r="A18" s="95" t="s">
        <v>221</v>
      </c>
      <c r="B18" s="96" t="str">
        <f aca="false">IF(OR($B$12="",$B$13=""),"",DATE(YEAR($B$12)+10,MONTH($B$12),DAY($B$12)))</f>
        <v/>
      </c>
      <c r="C18" s="97" t="str">
        <f aca="false">IF($B$13="","",$B$13*(1+$B$6)^10)</f>
        <v/>
      </c>
      <c r="D18" s="97" t="str">
        <f aca="false">IF($B$13="","",$B$13*(1+$B$7)^10)</f>
        <v/>
      </c>
      <c r="E18" s="94"/>
    </row>
    <row r="19" customFormat="false" ht="19.5" hidden="false" customHeight="true" outlineLevel="0" collapsed="false">
      <c r="A19" s="95" t="s">
        <v>222</v>
      </c>
      <c r="B19" s="96" t="str">
        <f aca="false">IF(OR($B$12="",$B$13=""),"",DATE(YEAR($B$12)+15,MONTH($B$12),DAY($B$12)))</f>
        <v/>
      </c>
      <c r="C19" s="97" t="str">
        <f aca="false">IF($B$13="","",$B$13*(1+$B$6)^15)</f>
        <v/>
      </c>
      <c r="D19" s="97" t="str">
        <f aca="false">IF($B$13="","",$B$13*(1+$B$7)^15)</f>
        <v/>
      </c>
      <c r="E19" s="94"/>
    </row>
    <row r="20" customFormat="false" ht="19.5" hidden="false" customHeight="true" outlineLevel="0" collapsed="false">
      <c r="B20" s="94"/>
      <c r="C20" s="94"/>
      <c r="D20" s="94"/>
      <c r="E20" s="94"/>
    </row>
    <row r="21" customFormat="false" ht="19.5" hidden="false" customHeight="true" outlineLevel="0" collapsed="false">
      <c r="A21" s="89" t="s">
        <v>223</v>
      </c>
      <c r="B21" s="94"/>
      <c r="C21" s="94"/>
      <c r="D21" s="94"/>
      <c r="E21" s="94"/>
    </row>
    <row r="22" customFormat="false" ht="19.5" hidden="false" customHeight="true" outlineLevel="0" collapsed="false">
      <c r="A22" s="84" t="s">
        <v>224</v>
      </c>
      <c r="B22" s="98" t="s">
        <v>225</v>
      </c>
      <c r="C22" s="98" t="s">
        <v>226</v>
      </c>
      <c r="D22" s="98" t="s">
        <v>227</v>
      </c>
      <c r="E22" s="98" t="s">
        <v>228</v>
      </c>
    </row>
    <row r="23" customFormat="false" ht="19.5" hidden="false" customHeight="true" outlineLevel="0" collapsed="false">
      <c r="A23" s="90" t="n">
        <v>46418</v>
      </c>
      <c r="B23" s="99" t="n">
        <f aca="false">IF(OR($A23="",$B$12=""),"",($A23-$B$12)/365.25)</f>
        <v>0.0848733744010951</v>
      </c>
      <c r="C23" s="100"/>
      <c r="D23" s="101" t="str">
        <f aca="false">IF(OR($A23="",$B$13=""),"",$B$13*(1+$B$7)^$B23)</f>
        <v/>
      </c>
      <c r="E23" s="102" t="str">
        <f aca="false">IF(OR($A23="",$C23="",$D23=""),"",$C23-$D23)</f>
        <v/>
      </c>
    </row>
    <row r="24" customFormat="false" ht="19.5" hidden="false" customHeight="true" outlineLevel="0" collapsed="false">
      <c r="A24" s="90" t="n">
        <v>46446</v>
      </c>
      <c r="B24" s="99" t="n">
        <f aca="false">IF(OR($A24="",$B$12=""),"",($A24-$B$12)/365.25)</f>
        <v>0.161533196440794</v>
      </c>
      <c r="C24" s="100"/>
      <c r="D24" s="101" t="str">
        <f aca="false">IF(OR($A24="",$B$13=""),"",$B$13*(1+$B$7)^$B24)</f>
        <v/>
      </c>
      <c r="E24" s="102" t="str">
        <f aca="false">IF(OR($A24="",$C24="",$D24=""),"",$C24-$D24)</f>
        <v/>
      </c>
    </row>
    <row r="25" customFormat="false" ht="19.5" hidden="false" customHeight="true" outlineLevel="0" collapsed="false">
      <c r="A25" s="90" t="n">
        <v>46477</v>
      </c>
      <c r="B25" s="99" t="n">
        <f aca="false">IF(OR($A25="",$B$12=""),"",($A25-$B$12)/365.25)</f>
        <v>0.246406570841889</v>
      </c>
      <c r="C25" s="100"/>
      <c r="D25" s="101" t="str">
        <f aca="false">IF(OR($A25="",$B$13=""),"",$B$13*(1+$B$7)^$B25)</f>
        <v/>
      </c>
      <c r="E25" s="102" t="str">
        <f aca="false">IF(OR($A25="",$C25="",$D25=""),"",$C25-$D25)</f>
        <v/>
      </c>
    </row>
    <row r="26" customFormat="false" ht="19.5" hidden="false" customHeight="true" outlineLevel="0" collapsed="false">
      <c r="A26" s="90" t="n">
        <v>46507</v>
      </c>
      <c r="B26" s="99" t="n">
        <f aca="false">IF(OR($A26="",$B$12=""),"",($A26-$B$12)/365.25)</f>
        <v>0.328542094455852</v>
      </c>
      <c r="C26" s="100"/>
      <c r="D26" s="101" t="str">
        <f aca="false">IF(OR($A26="",$B$13=""),"",$B$13*(1+$B$7)^$B26)</f>
        <v/>
      </c>
      <c r="E26" s="102" t="str">
        <f aca="false">IF(OR($A26="",$C26="",$D26=""),"",$C26-$D26)</f>
        <v/>
      </c>
    </row>
    <row r="27" customFormat="false" ht="19.5" hidden="false" customHeight="true" outlineLevel="0" collapsed="false">
      <c r="A27" s="90" t="n">
        <v>46538</v>
      </c>
      <c r="B27" s="99" t="n">
        <f aca="false">IF(OR($A27="",$B$12=""),"",($A27-$B$12)/365.25)</f>
        <v>0.413415468856947</v>
      </c>
      <c r="C27" s="100"/>
      <c r="D27" s="101" t="str">
        <f aca="false">IF(OR($A27="",$B$13=""),"",$B$13*(1+$B$7)^$B27)</f>
        <v/>
      </c>
      <c r="E27" s="102" t="str">
        <f aca="false">IF(OR($A27="",$C27="",$D27=""),"",$C27-$D27)</f>
        <v/>
      </c>
    </row>
    <row r="28" customFormat="false" ht="19.5" hidden="false" customHeight="true" outlineLevel="0" collapsed="false">
      <c r="A28" s="90" t="n">
        <v>46568</v>
      </c>
      <c r="B28" s="99" t="n">
        <f aca="false">IF(OR($A28="",$B$12=""),"",($A28-$B$12)/365.25)</f>
        <v>0.49555099247091</v>
      </c>
      <c r="C28" s="100"/>
      <c r="D28" s="101" t="str">
        <f aca="false">IF(OR($A28="",$B$13=""),"",$B$13*(1+$B$7)^$B28)</f>
        <v/>
      </c>
      <c r="E28" s="102" t="str">
        <f aca="false">IF(OR($A28="",$C28="",$D28=""),"",$C28-$D28)</f>
        <v/>
      </c>
    </row>
    <row r="29" customFormat="false" ht="19.5" hidden="false" customHeight="true" outlineLevel="0" collapsed="false"/>
    <row r="30" customFormat="false" ht="19.5" hidden="true" customHeight="true" outlineLevel="0" collapsed="false">
      <c r="A30" s="103"/>
    </row>
    <row r="31" customFormat="false" ht="19.5" hidden="true" customHeight="true" outlineLevel="0" collapsed="false">
      <c r="A31" s="84"/>
      <c r="B31" s="84"/>
      <c r="C31" s="84"/>
      <c r="D31" s="84"/>
    </row>
    <row r="32" customFormat="false" ht="19.5" hidden="true" customHeight="true" outlineLevel="0" collapsed="false">
      <c r="A32" s="104"/>
      <c r="B32" s="105"/>
      <c r="C32" s="86"/>
      <c r="D32" s="106"/>
    </row>
    <row r="33" customFormat="false" ht="19.5" hidden="true" customHeight="true" outlineLevel="0" collapsed="false">
      <c r="A33" s="104"/>
      <c r="B33" s="105"/>
      <c r="C33" s="86"/>
      <c r="D33" s="106"/>
    </row>
    <row r="34" customFormat="false" ht="19.5" hidden="true" customHeight="true" outlineLevel="0" collapsed="false">
      <c r="A34" s="104"/>
      <c r="B34" s="105"/>
      <c r="C34" s="86"/>
      <c r="D34" s="106"/>
    </row>
    <row r="35" customFormat="false" ht="19.5" hidden="true" customHeight="true" outlineLevel="0" collapsed="false">
      <c r="A35" s="104"/>
      <c r="B35" s="105"/>
      <c r="C35" s="86"/>
      <c r="D35" s="106"/>
    </row>
    <row r="36" customFormat="false" ht="19.5" hidden="true" customHeight="true" outlineLevel="0" collapsed="false">
      <c r="A36" s="104"/>
      <c r="B36" s="107"/>
      <c r="C36" s="86"/>
      <c r="D36" s="106"/>
    </row>
    <row r="37" customFormat="false" ht="19.5" hidden="true" customHeight="true" outlineLevel="0" collapsed="false">
      <c r="A37" s="86"/>
      <c r="B37" s="108"/>
      <c r="C37" s="86"/>
      <c r="D37" s="106"/>
    </row>
    <row r="38" customFormat="false" ht="19.5" hidden="true" customHeight="true" outlineLevel="0" collapsed="false"/>
    <row r="39" customFormat="false" ht="19.5" hidden="true" customHeight="true" outlineLevel="0" collapsed="false"/>
    <row r="40" customFormat="false" ht="19.5" hidden="false" customHeight="true" outlineLevel="0" collapsed="false">
      <c r="A40" s="43" t="s">
        <v>229</v>
      </c>
      <c r="B40" s="43"/>
      <c r="C40" s="43"/>
      <c r="D40" s="43"/>
      <c r="E40" s="43"/>
      <c r="F40" s="43"/>
      <c r="G40" s="43"/>
      <c r="H40" s="43"/>
    </row>
    <row r="41" customFormat="false" ht="19.5" hidden="false" customHeight="true" outlineLevel="0" collapsed="false">
      <c r="A41" s="89" t="s">
        <v>208</v>
      </c>
    </row>
    <row r="42" customFormat="false" ht="19.5" hidden="false" customHeight="true" outlineLevel="0" collapsed="false">
      <c r="A42" s="84" t="s">
        <v>28</v>
      </c>
      <c r="B42" s="84" t="s">
        <v>29</v>
      </c>
      <c r="C42" s="84" t="s">
        <v>30</v>
      </c>
      <c r="D42" s="85" t="s">
        <v>31</v>
      </c>
      <c r="E42" s="85"/>
      <c r="F42" s="85"/>
      <c r="G42" s="85"/>
      <c r="H42" s="85"/>
    </row>
    <row r="43" customFormat="false" ht="24" hidden="false" customHeight="true" outlineLevel="0" collapsed="false">
      <c r="A43" s="86" t="s">
        <v>209</v>
      </c>
      <c r="B43" s="90" t="n">
        <v>46387</v>
      </c>
      <c r="C43" s="86" t="s">
        <v>210</v>
      </c>
      <c r="D43" s="88" t="s">
        <v>230</v>
      </c>
      <c r="E43" s="88"/>
      <c r="F43" s="88"/>
      <c r="G43" s="88"/>
      <c r="H43" s="88"/>
    </row>
    <row r="44" customFormat="false" ht="24" hidden="false" customHeight="true" outlineLevel="0" collapsed="false">
      <c r="A44" s="86" t="s">
        <v>231</v>
      </c>
      <c r="B44" s="100"/>
      <c r="C44" s="86" t="s">
        <v>213</v>
      </c>
      <c r="D44" s="88" t="s">
        <v>232</v>
      </c>
      <c r="E44" s="88"/>
      <c r="F44" s="88"/>
      <c r="G44" s="88"/>
      <c r="H44" s="88"/>
    </row>
    <row r="45" customFormat="false" ht="24" hidden="false" customHeight="true" outlineLevel="0" collapsed="false">
      <c r="A45" s="86" t="s">
        <v>233</v>
      </c>
      <c r="B45" s="100"/>
      <c r="C45" s="86" t="s">
        <v>213</v>
      </c>
      <c r="D45" s="88" t="s">
        <v>234</v>
      </c>
      <c r="E45" s="88"/>
      <c r="F45" s="88"/>
      <c r="G45" s="88"/>
      <c r="H45" s="88"/>
    </row>
    <row r="46" customFormat="false" ht="24" hidden="false" customHeight="true" outlineLevel="0" collapsed="false">
      <c r="A46" s="89" t="s">
        <v>235</v>
      </c>
      <c r="B46" s="91" t="str">
        <f aca="false">IF(COUNT(B44:B45)&lt;2,"",SUM(B44:B45))</f>
        <v/>
      </c>
      <c r="C46" s="86" t="s">
        <v>39</v>
      </c>
      <c r="D46" s="88" t="s">
        <v>236</v>
      </c>
      <c r="E46" s="88"/>
      <c r="F46" s="88"/>
      <c r="G46" s="88"/>
      <c r="H46" s="88"/>
    </row>
    <row r="47" customFormat="false" ht="19.5" hidden="false" customHeight="true" outlineLevel="0" collapsed="false"/>
    <row r="48" customFormat="false" ht="19.5" hidden="false" customHeight="true" outlineLevel="0" collapsed="false">
      <c r="A48" s="89" t="s">
        <v>215</v>
      </c>
    </row>
    <row r="49" customFormat="false" ht="19.5" hidden="false" customHeight="true" outlineLevel="0" collapsed="false">
      <c r="A49" s="92" t="s">
        <v>216</v>
      </c>
      <c r="B49" s="93" t="s">
        <v>217</v>
      </c>
      <c r="C49" s="93" t="s">
        <v>218</v>
      </c>
      <c r="D49" s="93" t="s">
        <v>219</v>
      </c>
      <c r="E49" s="94"/>
      <c r="F49" s="94"/>
    </row>
    <row r="50" customFormat="false" ht="19.5" hidden="false" customHeight="true" outlineLevel="0" collapsed="false">
      <c r="A50" s="95" t="s">
        <v>220</v>
      </c>
      <c r="B50" s="96" t="str">
        <f aca="false">IF(OR($B$43="",$B$46=""),"",DATE(YEAR($B$43)+5,MONTH($B$43),DAY($B$43)))</f>
        <v/>
      </c>
      <c r="C50" s="97" t="str">
        <f aca="false">IF($B$46="","",$B$46*(1+$B$6)^5)</f>
        <v/>
      </c>
      <c r="D50" s="97" t="str">
        <f aca="false">IF($B$46="","",$B$46*(1+$B$7)^5)</f>
        <v/>
      </c>
      <c r="E50" s="94"/>
      <c r="F50" s="94"/>
    </row>
    <row r="51" customFormat="false" ht="19.5" hidden="false" customHeight="true" outlineLevel="0" collapsed="false">
      <c r="A51" s="95" t="s">
        <v>221</v>
      </c>
      <c r="B51" s="96" t="str">
        <f aca="false">IF(OR($B$43="",$B$46=""),"",DATE(YEAR($B$43)+10,MONTH($B$43),DAY($B$43)))</f>
        <v/>
      </c>
      <c r="C51" s="97" t="str">
        <f aca="false">IF($B$46="","",$B$46*(1+$B$6)^10)</f>
        <v/>
      </c>
      <c r="D51" s="97" t="str">
        <f aca="false">IF($B$46="","",$B$46*(1+$B$7)^10)</f>
        <v/>
      </c>
      <c r="E51" s="94"/>
      <c r="F51" s="94"/>
    </row>
    <row r="52" customFormat="false" ht="19.5" hidden="false" customHeight="true" outlineLevel="0" collapsed="false">
      <c r="A52" s="95" t="s">
        <v>222</v>
      </c>
      <c r="B52" s="96" t="str">
        <f aca="false">IF(OR($B$43="",$B$46=""),"",DATE(YEAR($B$43)+15,MONTH($B$43),DAY($B$43)))</f>
        <v/>
      </c>
      <c r="C52" s="97" t="str">
        <f aca="false">IF($B$46="","",$B$46*(1+$B$6)^15)</f>
        <v/>
      </c>
      <c r="D52" s="97" t="str">
        <f aca="false">IF($B$46="","",$B$46*(1+$B$7)^15)</f>
        <v/>
      </c>
      <c r="E52" s="94"/>
      <c r="F52" s="94"/>
    </row>
    <row r="53" customFormat="false" ht="19.5" hidden="false" customHeight="true" outlineLevel="0" collapsed="false">
      <c r="B53" s="94"/>
      <c r="C53" s="94"/>
      <c r="D53" s="94"/>
      <c r="E53" s="94"/>
      <c r="F53" s="94"/>
    </row>
    <row r="54" customFormat="false" ht="19.5" hidden="false" customHeight="true" outlineLevel="0" collapsed="false">
      <c r="A54" s="89" t="s">
        <v>223</v>
      </c>
      <c r="B54" s="94"/>
      <c r="C54" s="94"/>
      <c r="D54" s="94"/>
      <c r="E54" s="94"/>
      <c r="F54" s="94"/>
    </row>
    <row r="55" customFormat="false" ht="19.5" hidden="false" customHeight="true" outlineLevel="0" collapsed="false">
      <c r="A55" s="84" t="s">
        <v>224</v>
      </c>
      <c r="B55" s="98" t="s">
        <v>225</v>
      </c>
      <c r="C55" s="98" t="s">
        <v>226</v>
      </c>
      <c r="D55" s="98" t="s">
        <v>227</v>
      </c>
      <c r="E55" s="98" t="s">
        <v>228</v>
      </c>
      <c r="F55" s="94"/>
    </row>
    <row r="56" customFormat="false" ht="19.5" hidden="false" customHeight="true" outlineLevel="0" collapsed="false">
      <c r="A56" s="90" t="n">
        <v>46418</v>
      </c>
      <c r="B56" s="99" t="n">
        <f aca="false">IF(OR($A56="",$B$43=""),"",($A56-$B$43)/365.25)</f>
        <v>0.0848733744010951</v>
      </c>
      <c r="C56" s="100"/>
      <c r="D56" s="101" t="str">
        <f aca="false">IF(OR($A56="",$B$46=""),"",$B$46*(1+$B$7)^$B56)</f>
        <v/>
      </c>
      <c r="E56" s="108" t="str">
        <f aca="false">IF(OR($A56="",$C56="",$D56=""),"",$C56-$D56)</f>
        <v/>
      </c>
      <c r="F56" s="94"/>
    </row>
    <row r="57" customFormat="false" ht="19.5" hidden="false" customHeight="true" outlineLevel="0" collapsed="false">
      <c r="A57" s="90" t="n">
        <v>46446</v>
      </c>
      <c r="B57" s="99" t="n">
        <f aca="false">IF(OR($A57="",$B$43=""),"",($A57-$B$43)/365.25)</f>
        <v>0.161533196440794</v>
      </c>
      <c r="C57" s="100"/>
      <c r="D57" s="101" t="str">
        <f aca="false">IF(OR($A57="",$B$46=""),"",$B$46*(1+$B$7)^$B57)</f>
        <v/>
      </c>
      <c r="E57" s="108" t="str">
        <f aca="false">IF(OR($A57="",$C57="",$D57=""),"",$C57-$D57)</f>
        <v/>
      </c>
      <c r="F57" s="94"/>
    </row>
    <row r="58" customFormat="false" ht="19.5" hidden="false" customHeight="true" outlineLevel="0" collapsed="false">
      <c r="A58" s="90" t="n">
        <v>46477</v>
      </c>
      <c r="B58" s="99" t="n">
        <f aca="false">IF(OR($A58="",$B$43=""),"",($A58-$B$43)/365.25)</f>
        <v>0.246406570841889</v>
      </c>
      <c r="C58" s="100"/>
      <c r="D58" s="101" t="str">
        <f aca="false">IF(OR($A58="",$B$46=""),"",$B$46*(1+$B$7)^$B58)</f>
        <v/>
      </c>
      <c r="E58" s="108" t="str">
        <f aca="false">IF(OR($A58="",$C58="",$D58=""),"",$C58-$D58)</f>
        <v/>
      </c>
      <c r="F58" s="94"/>
    </row>
    <row r="59" customFormat="false" ht="19.5" hidden="false" customHeight="true" outlineLevel="0" collapsed="false">
      <c r="A59" s="90" t="n">
        <v>46507</v>
      </c>
      <c r="B59" s="99" t="n">
        <f aca="false">IF(OR($A59="",$B$43=""),"",($A59-$B$43)/365.25)</f>
        <v>0.328542094455852</v>
      </c>
      <c r="C59" s="100"/>
      <c r="D59" s="101" t="str">
        <f aca="false">IF(OR($A59="",$B$46=""),"",$B$46*(1+$B$7)^$B59)</f>
        <v/>
      </c>
      <c r="E59" s="108" t="str">
        <f aca="false">IF(OR($A59="",$C59="",$D59=""),"",$C59-$D59)</f>
        <v/>
      </c>
      <c r="F59" s="94"/>
    </row>
    <row r="60" customFormat="false" ht="19.5" hidden="false" customHeight="true" outlineLevel="0" collapsed="false">
      <c r="A60" s="90" t="n">
        <v>46538</v>
      </c>
      <c r="B60" s="99" t="n">
        <f aca="false">IF(OR($A60="",$B$43=""),"",($A60-$B$43)/365.25)</f>
        <v>0.413415468856947</v>
      </c>
      <c r="C60" s="100"/>
      <c r="D60" s="101" t="str">
        <f aca="false">IF(OR($A60="",$B$46=""),"",$B$46*(1+$B$7)^$B60)</f>
        <v/>
      </c>
      <c r="E60" s="108" t="str">
        <f aca="false">IF(OR($A60="",$C60="",$D60=""),"",$C60-$D60)</f>
        <v/>
      </c>
      <c r="F60" s="94"/>
    </row>
    <row r="61" customFormat="false" ht="19.5" hidden="false" customHeight="true" outlineLevel="0" collapsed="false">
      <c r="A61" s="90" t="n">
        <v>46568</v>
      </c>
      <c r="B61" s="99" t="n">
        <f aca="false">IF(OR($A61="",$B$43=""),"",($A61-$B$43)/365.25)</f>
        <v>0.49555099247091</v>
      </c>
      <c r="C61" s="100"/>
      <c r="D61" s="101" t="str">
        <f aca="false">IF(OR($A61="",$B$46=""),"",$B$46*(1+$B$7)^$B61)</f>
        <v/>
      </c>
      <c r="E61" s="108" t="str">
        <f aca="false">IF(OR($A61="",$C61="",$D61=""),"",$C61-$D61)</f>
        <v/>
      </c>
      <c r="F61" s="94"/>
    </row>
    <row r="62" customFormat="false" ht="19.5" hidden="false" customHeight="true" outlineLevel="0" collapsed="false"/>
    <row r="63" customFormat="false" ht="19.5" hidden="true" customHeight="true" outlineLevel="0" collapsed="false">
      <c r="A63" s="103"/>
    </row>
    <row r="64" customFormat="false" ht="19.5" hidden="true" customHeight="true" outlineLevel="0" collapsed="false">
      <c r="A64" s="84"/>
      <c r="B64" s="84"/>
      <c r="C64" s="84"/>
      <c r="D64" s="84"/>
    </row>
    <row r="65" customFormat="false" ht="19.5" hidden="true" customHeight="true" outlineLevel="0" collapsed="false">
      <c r="A65" s="86"/>
      <c r="B65" s="109"/>
      <c r="C65" s="86"/>
      <c r="D65" s="106"/>
    </row>
    <row r="66" customFormat="false" ht="19.5" hidden="true" customHeight="true" outlineLevel="0" collapsed="false">
      <c r="A66" s="86"/>
      <c r="B66" s="101"/>
      <c r="C66" s="86"/>
      <c r="D66" s="106"/>
    </row>
    <row r="67" customFormat="false" ht="19.5" hidden="true" customHeight="true" outlineLevel="0" collapsed="false">
      <c r="A67" s="86"/>
      <c r="B67" s="101"/>
      <c r="C67" s="86"/>
      <c r="D67" s="106"/>
    </row>
    <row r="68" customFormat="false" ht="19.5" hidden="true" customHeight="true" outlineLevel="0" collapsed="false">
      <c r="A68" s="86"/>
      <c r="B68" s="108"/>
      <c r="C68" s="86"/>
      <c r="D68" s="106"/>
    </row>
    <row r="69" customFormat="false" ht="23.25" hidden="true" customHeight="true" outlineLevel="0" collapsed="false">
      <c r="A69" s="86"/>
      <c r="B69" s="110"/>
      <c r="C69" s="86"/>
      <c r="D69" s="106"/>
    </row>
    <row r="70" customFormat="false" ht="19.5" hidden="true" customHeight="true" outlineLevel="0" collapsed="false"/>
    <row r="71" customFormat="false" ht="19.5" hidden="false" customHeight="true" outlineLevel="0" collapsed="false">
      <c r="A71" s="111" t="s">
        <v>237</v>
      </c>
      <c r="B71" s="111"/>
      <c r="C71" s="111"/>
      <c r="D71" s="111"/>
      <c r="E71" s="111"/>
      <c r="F71" s="111"/>
      <c r="G71" s="111"/>
      <c r="H71" s="111"/>
    </row>
    <row r="72" customFormat="false" ht="19.5" hidden="false" customHeight="true" outlineLevel="0" collapsed="false">
      <c r="A72" s="111"/>
      <c r="B72" s="111"/>
      <c r="C72" s="111"/>
      <c r="D72" s="111"/>
      <c r="E72" s="111"/>
      <c r="F72" s="111"/>
      <c r="G72" s="111"/>
      <c r="H72" s="111"/>
    </row>
    <row r="73" customFormat="false" ht="19.5" hidden="false" customHeight="true" outlineLevel="0" collapsed="false">
      <c r="A73" s="111"/>
      <c r="B73" s="111"/>
      <c r="C73" s="111"/>
      <c r="D73" s="111"/>
      <c r="E73" s="111"/>
      <c r="F73" s="111"/>
      <c r="G73" s="111"/>
      <c r="H73" s="111"/>
    </row>
  </sheetData>
  <mergeCells count="17">
    <mergeCell ref="A1:H1"/>
    <mergeCell ref="A2:H2"/>
    <mergeCell ref="A4:H4"/>
    <mergeCell ref="D5:H5"/>
    <mergeCell ref="D6:H6"/>
    <mergeCell ref="D7:H7"/>
    <mergeCell ref="A9:H9"/>
    <mergeCell ref="D11:H11"/>
    <mergeCell ref="D12:H12"/>
    <mergeCell ref="D13:H13"/>
    <mergeCell ref="A40:H40"/>
    <mergeCell ref="D42:H42"/>
    <mergeCell ref="D43:H43"/>
    <mergeCell ref="D44:H44"/>
    <mergeCell ref="D45:H45"/>
    <mergeCell ref="D46:H46"/>
    <mergeCell ref="A71:H73"/>
  </mergeCells>
  <conditionalFormatting sqref="E56:E61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E23:E28">
    <cfRule type="cellIs" priority="4" operator="lessThan" aboveAverage="0" equalAverage="0" bottom="0" percent="0" rank="0" text="" dxfId="0">
      <formula>-1</formula>
    </cfRule>
    <cfRule type="cellIs" priority="5" operator="greater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2026-08-10T09:29:13Z</dcterms:created>
  <dc:creator>openpyxl</dc:creator>
  <dc:description/>
  <dc:language>en-US</dc:language>
  <cp:lastModifiedBy>armando manzanos luna</cp:lastModifiedBy>
  <dcterms:modified xsi:type="dcterms:W3CDTF">2026-10-25T09:02:28Z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
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otas" sheetId="1" state="visible" r:id="rId3"/>
    <sheet name="AMS" sheetId="2" state="visible" r:id="rId4"/>
    <sheet name="AML" sheetId="3" state="visible" r:id="rId5"/>
    <sheet name="Cajas" sheetId="4" state="visible" r:id="rId6"/>
    <sheet name="Proyeccion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<sst xmlns="http://schemas.openxmlformats.org/spreadsheetml/2006/main" count="435" uniqueCount="229">
  <si>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</si>
  <si>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</si>
  <si>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</si>
  <si>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</si>
  <si>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</si>
  <si>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</si>
  <si>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</si>
  <si>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</si>
  <si>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</si>
  <si>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</si>
  <si>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</si>
  <si>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</si>
  <si>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</si>
  <si>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</si>
  <si>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</si>
  <si>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</si>
  <si>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</si>
  <si>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</si>
  <si>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</si>
  <si>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</si>
  <si>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</si>
  <si>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</si>
  <si>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</si>
  <si>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</si>
  <si>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</si>
  <si>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</si>
  <si>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</si>
  <si>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</si>
  <si>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</si>
  <si>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</si>
  <si>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</si>
  <si>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</si>
  <si>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</si>
  <si>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</si>
  <si>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</si>
  <si>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</si>
  <si>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</si>
  <si>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</si>
  <si>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Objetivo declarado</t>
  </si>
  <si>
    <t xml:space="preserve">Cerrar el gap con ingresos pasivos recurrentes</t>
  </si>
  <si>
    <t xml:space="preserve"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</si>
  <si>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</si>
  <si>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</si>
  <si>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</si>
  <si>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</si>
  <si>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</si>
  <si>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</si>
  <si>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</si>
  <si>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</si>
  <si>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</si>
  <si>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</si>
  <si>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</si>
  <si>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</si>
  <si>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</si>
  <si>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</si>
  <si>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</si>
  <si>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</si>
  <si>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</si>
  <si>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</si>
  <si>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</si>
  <si>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</si>
  <si>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</si>
  <si>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</si>
  <si>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</si>
  <si>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</si>
  <si>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</si>
  <si>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</si>
  <si>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</si>
  <si>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</si>
  <si>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</si>
  <si>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</si>
  <si>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</si>
  <si>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</si>
  <si>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</si>
  <si>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 (concentración de ingresos)</t>
  </si>
  <si>
    <t xml:space="preserve">Adecuado</t>
  </si>
  <si>
    <t xml:space="preserve"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</si>
  <si>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</si>
  <si>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</si>
  <si>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</si>
  <si>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</si>
  <si>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</si>
  <si>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 (excluido FM)</t>
  </si>
  <si>
    <t xml:space="preserve">No confundir con 'Liquidez total actual' de la sección 1, que sí incluye el Fondo Monetario (172.330,77€) -- aquí el FM va aparte como clase de activo propia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</si>
  <si>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</si>
  <si>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</si>
  <si>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</si>
  <si>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</si>
  <si>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</si>
  <si>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 (excl. FM)</t>
  </si>
  <si>
    <t xml:space="preserve">Valoración cualitativa (concentración de cartera)</t>
  </si>
  <si>
    <t xml:space="preserve">Confirmado por Armando 2026-08-10 -- 69,5% en un único índice (SP500) considerado concentración aceptable dado que es un índice diversificado de 500 compañías, no una apuesta individual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</si>
  <si>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</si>
  <si>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</si>
  <si>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</si>
  <si>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</si>
  <si>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Próximo evento con necesidad de liquidez conocida</t>
  </si>
  <si>
    <t xml:space="preserve">Ninguno conocido</t>
  </si>
  <si>
    <t xml:space="preserve">Confirmado 2026-08-10</t>
  </si>
  <si>
    <t xml:space="preserve">6. RESTRICCIONES FISCALES / OPERATIVAS</t>
  </si>
  <si>
    <t xml:space="preserve">Minusvalía pendiente de compensar (TEF)</t>
  </si>
  <si>
    <t xml:space="preserve">Venta 2026. Crédito fiscal favorable, no una restricción -- 4 años para compensar vía plusvalías (confirmado por Armando 2026-08-10); si no se generan plusvalías suficientes en ese plazo, el crédito caduca sin usarse</t>
  </si>
  <si>
    <t xml:space="preserve">Restricciones fiscales pendientes</t>
  </si>
  <si>
    <t xml:space="preserve">Ninguna conocida</t>
  </si>
  <si>
    <t xml:space="preserve">Confirmado 2026-08-10 -- la minusvalía de arriba es la única cuestión fiscal conocida, y es favorable, no restrictiva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</si>
  <si>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</si>
  <si>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</si>
  <si>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</si>
  <si>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</si>
  <si>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</si>
  <si>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</si>
  <si>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</si>
  <si>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</si>
  <si>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</si>
  <si>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</si>
  <si>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</si>
  <si>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</si>
  <si>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</si>
  <si>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</si>
  <si>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</si>
  <si>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</si>
  <si>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</si>
  <si>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</si>
  <si>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</si>
  <si>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</si>
  <si>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</si>
  <si>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754.162,54 + Mamá 403.356,58)</t>
  </si>
  <si>
    <t xml:space="preserve">Excluidos de liquidez/pólvora seca — ver sección 6</t>
  </si>
  <si>
    <t xml:space="preserve">Acciones (Iberdrola 356.040 + BBVA 125.804,4 + TEF 56.169,35)</t>
  </si>
  <si>
    <t xml:space="preserve">ETF (Aristócratas)</t>
  </si>
  <si>
    <t xml:space="preserve">Liquidez + Depósitos (excluido FM)</t>
  </si>
  <si>
    <t xml:space="preserve">No confundir con 'Liquidez total actual' de la sección 1 -- hoy coinciden porque el FM de AML aún está a 0€, pero dejarán de coincidir en cuanto el FM se nutra de los depósitos al vencer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</si>
  <si>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</si>
  <si>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</si>
  <si>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</si>
  <si>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</si>
  <si>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</si>
  <si>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</si>
  <si>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</si>
  <si>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</si>
  <si>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</si>
  <si>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</si>
  <si>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</si>
  <si>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</si>
  <si>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</si>
  <si>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</si>
  <si>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</si>
  <si>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</si>
  <si>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</si>
  <si>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</si>
  <si>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</si>
  <si>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</si>
  <si>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</si>
  <si>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</si>
  <si>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Confirmado 2026-08-10. Los vencimientos de depósitos de arriba son liquidez entrante, no una necesidad de gasto -- no cuentan aquí.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</si>
  <si>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</si>
  <si>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</si>
  <si>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 xml:space="preserve">Manual (confirmado por Armando 2026-08-10)</t>
  </si>
  <si>
    <t xml:space="preserve">Crédito fiscal favorable, no una restricción -- 4 años para compensar vía plusvalías; si no se generan plusvalías suficientes en ese plazo, el crédito caduca sin usarse</t>
  </si>
  <si>
    <t xml:space="preserve">Confirmado 2026-08-10 -- la exclusión de Planes de Pensiones y la minusvalía TEF de arriba son las únicas cuestiones fiscales conocidas; ninguna de las dos es una restricción activa</t>
  </si>
  <si>
    <t xml:space="preserve">CLASIFICACIÓN EN LAS TRES CAJAS</t>
  </si>
  <si>
    <t xml:space="preserve">Nivel 3, CONSTITUTION.md Sección 2  ·  Seguridad · Motor · Rentas Pasivas</t>
  </si>
  <si>
    <t xml:space="preserve">AMS — patrimonio propio</t>
  </si>
  <si>
    <t xml:space="preserve">Caja</t>
  </si>
  <si>
    <t xml:space="preserve">Partida</t>
  </si>
  <si>
    <t xml:space="preserve">% Total</t>
  </si>
  <si>
    <t xml:space="preserve">Origen</t>
  </si>
  <si>
    <t xml:space="preserve">Seguridad</t>
  </si>
  <si>
    <t xml:space="preserve">AMS!B41</t>
  </si>
  <si>
    <t xml:space="preserve">AMS!B44</t>
  </si>
  <si>
    <t xml:space="preserve">Subtotal Seguridad</t>
  </si>
  <si>
    <t xml:space="preserve">Motor</t>
  </si>
  <si>
    <t xml:space="preserve">AMS!B40</t>
  </si>
  <si>
    <t xml:space="preserve">Subtotal Motor</t>
  </si>
  <si>
    <t xml:space="preserve">Rentas Pasivas</t>
  </si>
  <si>
    <t xml:space="preserve">AMS!B42</t>
  </si>
  <si>
    <t xml:space="preserve">AMS!B43</t>
  </si>
  <si>
    <t xml:space="preserve">Subtotal Rentas Pasivas</t>
  </si>
  <si>
    <t xml:space="preserve">TOTAL AMS (3 cajas)</t>
  </si>
  <si>
    <t xml:space="preserve">Diferencia vs. total patrimonio (control)</t>
  </si>
  <si>
    <t xml:space="preserve">Debe ser 0€. Si no lo es, hay una partida nueva en la sección 4 sin clasificar aquí.</t>
  </si>
  <si>
    <t xml:space="preserve">AML — patrimonio de tus padres</t>
  </si>
  <si>
    <t xml:space="preserve">AML!B43</t>
  </si>
  <si>
    <t xml:space="preserve">AML!B39</t>
  </si>
  <si>
    <t xml:space="preserve">AML!B40</t>
  </si>
  <si>
    <t xml:space="preserve">Bloqueado operativamente (ilíquido salvo jubilación/paro larga duración/enfermedad grave; destino: herencia). Clasificado en Motor por composición de activo, confirmado por Armando 2026-08-13.</t>
  </si>
  <si>
    <t xml:space="preserve">AML!B41</t>
  </si>
  <si>
    <t xml:space="preserve">Función declarada de renta vía dividendos, no de crecimiento (ver AML!D58). Confirmado por Armando 2026-08-13.</t>
  </si>
  <si>
    <t xml:space="preserve">AML!B42</t>
  </si>
  <si>
    <t xml:space="preserve">TOTAL AML (3 cajas)</t>
  </si>
  <si>
    <t xml:space="preserve">Colores: Seguridad (azul) · Motor (verde) · Rentas Pasivas (naranja). % Total = peso de cada caja sobre el patrimonio total de AMS o AML respectivamente. Clasificación fijada por Armando el 2026-08-13 sobre la tabla de cajas de CONSTITUTION.md Sección 2, Nivel 3 — Seguridad: liquidez/depósitos/monetarios · Motor: fondo indexado S&amp;P 500 y otras inversiones a largo plazo · Rentas Pasivas: JGPI, inmobiliario, oro.</t>
  </si>
  <si>
    <t xml:space="preserve">PROYECCIÓN CAJA MOTOR — HIPÓTESIS BASE v1</t>
  </si>
  <si>
    <t xml:space="preserve">Ilustrativa, no un objetivo. X/Y/Z por necesidad patrimonial: CONSTITUTION.md Sección 6, Pendiente.</t>
  </si>
  <si>
    <t xml:space="preserve">Fecha y saldo de referencia  ·  CONGELADOS — no enlazados por fórmula</t>
  </si>
  <si>
    <t xml:space="preserve">Fecha de referencia</t>
  </si>
  <si>
    <t xml:space="preserve">Provisional. Se sustituirá por el cierre a 31/12/2026 para anclar la trayectoria en año natural — al cambiar esta fecha (y los importes de abajo) toda la trayectoria esperada y el seguimiento se recalculan solos.</t>
  </si>
  <si>
    <t xml:space="preserve">AMS — Caja Motor (congelado)</t>
  </si>
  <si>
    <t xml:space="preserve">Cifra dada por Armando a la fecha de referencia (2026-08-13). No enlazada a la hoja Cajas — solo cambia con actualización explícita de este congelado.</t>
  </si>
  <si>
    <t xml:space="preserve">AML — Fondos RV (congelado)</t>
  </si>
  <si>
    <t xml:space="preserve">Cifra dada por Armando a la fecha de referencia (2026-08-13).</t>
  </si>
  <si>
    <t xml:space="preserve">AML — Planes de Pensiones (congelado)</t>
  </si>
  <si>
    <t xml:space="preserve">Bloqueados operativamente (ver hoja Cajas, fila 24). Incluidos en Motor por composición de activo, confirmado por Armando 2026-08-13.</t>
  </si>
  <si>
    <t xml:space="preserve">AML — Caja Motor (congelado, total)</t>
  </si>
  <si>
    <t xml:space="preserve">Suma de las dos filas anteriores. Sigue siendo un congelado: solo se mueve si cambian esas dos celdas manualmente.</t>
  </si>
  <si>
    <t xml:space="preserve">Hipótesis de rentabilidad  ·  CONSTITUTION.md Sección 2</t>
  </si>
  <si>
    <t xml:space="preserve">Rentabilidad real anualizada</t>
  </si>
  <si>
    <t xml:space="preserve">Hipótesis base v1 — CONSTITUTION.md Sección 2. Serie total return real de Shiller (data/raw/shiller.xlsx), dividendos reinvertidos, CAGR de la serie completa. No se ajusta automáticamente por CAPE ni por el Research Engine — editar solo tras actualización explícita de la Constitución.</t>
  </si>
  <si>
    <t xml:space="preserve">Rentabilidad nominal anualizada (aprox.)</t>
  </si>
  <si>
    <t xml:space="preserve">Derivada de la rentabilidad real + inflación media histórica de la serie Shiller (~2,15%/año). Misma gobernanza que la fila anterior.</t>
  </si>
  <si>
    <t xml:space="preserve">Trayectoria esperada — Caja Motor, desde el congelado</t>
  </si>
  <si>
    <t xml:space="preserve">Horizonte</t>
  </si>
  <si>
    <t xml:space="preserve">Fecha objetivo</t>
  </si>
  <si>
    <t xml:space="preserve">AMS Real</t>
  </si>
  <si>
    <t xml:space="preserve">AMS Nominal</t>
  </si>
  <si>
    <t xml:space="preserve">AML Real</t>
  </si>
  <si>
    <t xml:space="preserve">AML Nominal</t>
  </si>
  <si>
    <t xml:space="preserve">5 años</t>
  </si>
  <si>
    <t xml:space="preserve">10 años</t>
  </si>
  <si>
    <t xml:space="preserve">15 años</t>
  </si>
  <si>
    <t xml:space="preserve">Seguimiento — saldo real vs. trayectoria esperada (nominal)</t>
  </si>
  <si>
    <t xml:space="preserve">Fecha de control</t>
  </si>
  <si>
    <t xml:space="preserve">Años</t>
  </si>
  <si>
    <t xml:space="preserve">AMS Actual</t>
  </si>
  <si>
    <t xml:space="preserve">AMS Esperado</t>
  </si>
  <si>
    <t xml:space="preserve">AMS Δ</t>
  </si>
  <si>
    <t xml:space="preserve">AML Actual</t>
  </si>
  <si>
    <t xml:space="preserve">AML Esperado</t>
  </si>
  <si>
    <t xml:space="preserve">AML Δ</t>
  </si>
  <si>
    <t xml:space="preserve">Celdas azules/amarillas = escribe tú (Fecha de control, AMS Actual, AML Actual). El resto son fórmulas. 'Esperado' compara contra la trayectoria nominal (euros corrientes), igual que el saldo observado — no está ajustado por inflación. Δ positivo = vas por delante de la trayectoria; negativo = por detrás. Esto compara contra la hipótesis base, no contra un objetivo X/Y/Z (todavía sin definir).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</si>
</sst>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\€;\(#,##0&quot;€)&quot;"/>
    <numFmt numFmtId="166" formatCode="0.0%"/>
    <numFmt numFmtId="167" formatCode="0"/>
    <numFmt numFmtId="168" formatCode="dd/mm/yyyy"/>
    <numFmt numFmtId="169" formatCode="0.0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i val="true"/>
      <sz val="9"/>
      <color rgb="FF666666"/>
      <name val="Arial"/>
      <family val="2"/>
      <charset val="1"/>
    </font>
    <font>
      <b val="true"/>
      <sz val="13"/>
      <color rgb="FF1F1F1F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1F1F1F"/>
      <name val="Arial"/>
      <family val="2"/>
      <charset val="1"/>
    </font>
    <font>
      <sz val="10"/>
      <color rgb="FF1F1F1F"/>
      <name val="Arial"/>
      <family val="2"/>
      <charset val="1"/>
    </font>
    <font>
      <sz val="8.5"/>
      <color rgb="FF9E9E9E"/>
      <name val="Arial"/>
      <family val="2"/>
      <charset val="1"/>
    </font>
    <font>
      <b val="true"/>
      <sz val="10.5"/>
      <color rgb="FFFFFFFF"/>
      <name val="Arial"/>
      <family val="2"/>
      <charset val="1"/>
    </font>
    <font>
      <i val="true"/>
      <sz val="8.5"/>
      <color rgb="FF7F7F7F"/>
      <name val="Arial"/>
      <family val="2"/>
      <charset val="1"/>
    </font>
    <font>
      <b val="true"/>
      <sz val="13"/>
      <color rgb="FF1F1F1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0"/>
      <color rgb="FF1155CC"/>
      <name val="Arial"/>
      <family val="0"/>
      <charset val="1"/>
    </font>
    <font>
      <sz val="8.5"/>
      <color rgb="FF9E9E9E"/>
      <name val="Arial"/>
      <family val="0"/>
      <charset val="1"/>
    </font>
    <font>
      <i val="true"/>
      <sz val="8.5"/>
      <color rgb="FF7F7F7F"/>
      <name val="Arial"/>
      <family val="0"/>
      <charset val="1"/>
    </font>
    <font>
      <b val="true"/>
      <sz val="10.5"/>
      <color rgb="FF1F1F1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2E5395"/>
        <bgColor rgb="FF1155CC"/>
      </patternFill>
    </fill>
    <fill>
      <patternFill patternType="solid">
        <fgColor rgb="FFDDEBF7"/>
        <bgColor rgb="FFD9E1F2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DDEBF7"/>
      </patternFill>
    </fill>
    <fill>
      <patternFill patternType="solid">
        <fgColor rgb="FFA9D18E"/>
        <bgColor rgb="FFBDD7EE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8080"/>
      </patternFill>
    </fill>
    <fill>
      <patternFill patternType="solid">
        <fgColor rgb="FF404040"/>
        <bgColor rgb="FF595959"/>
      </patternFill>
    </fill>
    <fill>
      <patternFill patternType="solid">
        <fgColor rgb="FFFFF2CC"/>
        <bgColor rgb="FFFCE4D6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808080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 style="medium">
        <color rgb="FF595959"/>
      </right>
      <top/>
      <bottom style="medium">
        <color rgb="FF808080"/>
      </bottom>
      <diagonal/>
    </border>
    <border diagonalUp="false" diagonalDown="false">
      <left style="medium">
        <color rgb="FF595959"/>
      </left>
      <right/>
      <top/>
      <bottom style="medium">
        <color rgb="FF808080"/>
      </bottom>
      <diagonal/>
    </border>
    <border diagonalUp="false" diagonalDown="false">
      <left style="thin">
        <color rgb="FFD9D9D9"/>
      </left>
      <right style="medium">
        <color rgb="FF59595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59595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5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22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5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2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8" borderId="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2" fillId="1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13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A9D18E"/>
      <rgbColor rgb="FF808080"/>
      <rgbColor rgb="FF9999FF"/>
      <rgbColor rgb="FF595959"/>
      <rgbColor rgb="FFFFF2CC"/>
      <rgbColor rgb="FFDDEBF7"/>
      <rgbColor rgb="FF660066"/>
      <rgbColor rgb="FFFF8080"/>
      <rgbColor rgb="FF1155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D9D9D9"/>
      <rgbColor rgb="FFFCE4D6"/>
      <rgbColor rgb="FFD9E1F2"/>
      <rgbColor rgb="FFF4B183"/>
      <rgbColor rgb="FF3366FF"/>
      <rgbColor rgb="FF33CCCC"/>
      <rgbColor rgb="FF99CC00"/>
      <rgbColor rgb="FFFFCC00"/>
      <rgbColor rgb="FFFF9900"/>
      <rgbColor rgb="FFFF6600"/>
      <rgbColor rgb="FF666666"/>
      <rgbColor rgb="FF9E9E9E"/>
      <rgbColor rgb="FF003366"/>
      <rgbColor rgb="FF339966"/>
      <rgbColor rgb="FF003300"/>
      <rgbColor rgb="FF1F1F1F"/>
      <rgbColor rgb="FF993300"/>
      <rgbColor rgb="FF993366"/>
      <rgbColor rgb="FF2E5395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70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5" t="s">
        <v>4</v>
      </c>
      <c r="B6" s="4" t="s">
        <v>5</v>
      </c>
    </row>
    <row r="7" customFormat="false" ht="15" hidden="false" customHeight="true" outlineLevel="0" collapsed="false">
      <c r="A7" s="4" t="s">
        <v>6</v>
      </c>
      <c r="B7" s="4" t="s">
        <v>7</v>
      </c>
    </row>
    <row r="9" customFormat="false" ht="15" hidden="false" customHeight="true" outlineLevel="0" collapsed="false">
      <c r="A9" s="3" t="s">
        <v>8</v>
      </c>
    </row>
    <row r="10" customFormat="false" ht="15" hidden="false" customHeight="true" outlineLevel="0" collapsed="false">
      <c r="A10" s="4" t="s">
        <v>9</v>
      </c>
      <c r="B10" s="4" t="s">
        <v>10</v>
      </c>
    </row>
    <row r="11" customFormat="false" ht="15" hidden="false" customHeight="true" outlineLevel="0" collapsed="false">
      <c r="A11" s="4" t="s">
        <v>9</v>
      </c>
      <c r="B11" s="4" t="s">
        <v>11</v>
      </c>
    </row>
    <row r="12" customFormat="false" ht="15" hidden="false" customHeight="true" outlineLevel="0" collapsed="false">
      <c r="A12" s="4" t="s">
        <v>9</v>
      </c>
      <c r="B12" s="4" t="s">
        <v>12</v>
      </c>
    </row>
    <row r="14" customFormat="false" ht="15" hidden="false" customHeight="true" outlineLevel="0" collapsed="false">
      <c r="A14" s="3" t="s">
        <v>13</v>
      </c>
      <c r="B14" s="4" t="s">
        <v>14</v>
      </c>
    </row>
    <row r="16" customFormat="false" ht="15" hidden="false" customHeight="true" outlineLevel="0" collapsed="false">
      <c r="A16" s="3" t="s">
        <v>15</v>
      </c>
      <c r="B16" s="4" t="s">
        <v>16</v>
      </c>
    </row>
    <row r="18" customFormat="false" ht="15" hidden="false" customHeight="true" outlineLevel="0" collapsed="false">
      <c r="A18" s="3" t="s">
        <v>17</v>
      </c>
    </row>
    <row r="19" customFormat="false" ht="30" hidden="false" customHeight="true" outlineLevel="0" collapsed="false">
      <c r="A19" s="4" t="s">
        <v>9</v>
      </c>
      <c r="B19" s="4" t="s">
        <v>18</v>
      </c>
    </row>
    <row r="20" customFormat="false" ht="30" hidden="false" customHeight="true" outlineLevel="0" collapsed="false">
      <c r="A20" s="4" t="s">
        <v>9</v>
      </c>
      <c r="B20" s="4" t="s">
        <v>19</v>
      </c>
    </row>
    <row r="21" customFormat="false" ht="30" hidden="false" customHeight="true" outlineLevel="0" collapsed="false">
      <c r="A21" s="4" t="s">
        <v>9</v>
      </c>
      <c r="B21" s="4" t="s">
        <v>20</v>
      </c>
    </row>
    <row r="22" customFormat="false" ht="30" hidden="false" customHeight="true" outlineLevel="0" collapsed="false">
      <c r="A22" s="4" t="s">
        <v>9</v>
      </c>
      <c r="B22" s="4" t="s">
        <v>21</v>
      </c>
    </row>
    <row r="23" customFormat="false" ht="30" hidden="false" customHeight="true" outlineLevel="0" collapsed="false">
      <c r="A23" s="4" t="s">
        <v>9</v>
      </c>
      <c r="B23" s="4" t="s">
        <v>22</v>
      </c>
    </row>
    <row r="24" customFormat="false" ht="30" hidden="false" customHeight="true" outlineLevel="0" collapsed="false">
      <c r="A24" s="4" t="s">
        <v>9</v>
      </c>
      <c r="B24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B41" activeCellId="0" sqref="B4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2" t="s">
        <v>24</v>
      </c>
    </row>
    <row r="3" customFormat="false" ht="15" hidden="false" customHeight="true" outlineLevel="0" collapsed="false">
      <c r="A3" s="6" t="s">
        <v>25</v>
      </c>
      <c r="B3" s="7"/>
      <c r="C3" s="7"/>
      <c r="D3" s="7"/>
    </row>
    <row r="4" customFormat="false" ht="15" hidden="false" customHeight="true" outlineLevel="0" collapsed="false">
      <c r="A4" s="8" t="s">
        <v>26</v>
      </c>
      <c r="B4" s="8" t="s">
        <v>27</v>
      </c>
      <c r="C4" s="8" t="s">
        <v>28</v>
      </c>
      <c r="D4" s="8" t="s">
        <v>29</v>
      </c>
    </row>
    <row r="5" customFormat="false" ht="15" hidden="false" customHeight="true" outlineLevel="0" collapsed="false">
      <c r="A5" s="4" t="s">
        <v>30</v>
      </c>
      <c r="B5" s="9" t="n">
        <v>20000</v>
      </c>
      <c r="C5" s="10" t="s">
        <v>31</v>
      </c>
      <c r="D5" s="10" t="s">
        <v>32</v>
      </c>
    </row>
    <row r="6" customFormat="false" ht="15" hidden="false" customHeight="true" outlineLevel="0" collapsed="false">
      <c r="A6" s="4" t="s">
        <v>33</v>
      </c>
      <c r="B6" s="9" t="n">
        <v>13000</v>
      </c>
      <c r="C6" s="10" t="s">
        <v>31</v>
      </c>
      <c r="D6" s="10" t="s">
        <v>34</v>
      </c>
    </row>
    <row r="7" customFormat="false" ht="15" hidden="false" customHeight="true" outlineLevel="0" collapsed="false">
      <c r="A7" s="4" t="s">
        <v>35</v>
      </c>
      <c r="B7" s="11" t="n">
        <f aca="false">B6-B5</f>
        <v>-7000</v>
      </c>
      <c r="C7" s="10" t="s">
        <v>36</v>
      </c>
      <c r="D7" s="10" t="s">
        <v>37</v>
      </c>
    </row>
    <row r="8" customFormat="false" ht="15" hidden="false" customHeight="true" outlineLevel="0" collapsed="false">
      <c r="A8" s="4" t="s">
        <v>38</v>
      </c>
      <c r="B8" s="5" t="s">
        <v>39</v>
      </c>
      <c r="C8" s="10" t="s">
        <v>31</v>
      </c>
      <c r="D8" s="10" t="s">
        <v>40</v>
      </c>
    </row>
    <row r="9" customFormat="false" ht="15" hidden="false" customHeight="true" outlineLevel="0" collapsed="false">
      <c r="A9" s="4" t="s">
        <v>41</v>
      </c>
      <c r="B9" s="9" t="n">
        <v>30000</v>
      </c>
      <c r="C9" s="10" t="s">
        <v>31</v>
      </c>
      <c r="D9" s="10" t="s">
        <v>42</v>
      </c>
    </row>
    <row r="10" customFormat="false" ht="15" hidden="false" customHeight="true" outlineLevel="0" collapsed="false">
      <c r="A10" s="4" t="s">
        <v>43</v>
      </c>
      <c r="B10" s="9" t="n">
        <v>70000</v>
      </c>
      <c r="C10" s="10" t="s">
        <v>31</v>
      </c>
      <c r="D10" s="10" t="s">
        <v>44</v>
      </c>
    </row>
    <row r="11" customFormat="false" ht="15" hidden="false" customHeight="true" outlineLevel="0" collapsed="false">
      <c r="A11" s="4" t="s">
        <v>45</v>
      </c>
      <c r="B11" s="9" t="n">
        <v>120000</v>
      </c>
      <c r="C11" s="10" t="s">
        <v>31</v>
      </c>
      <c r="D11" s="10" t="s">
        <v>46</v>
      </c>
    </row>
    <row r="12" customFormat="false" ht="15" hidden="false" customHeight="true" outlineLevel="0" collapsed="false">
      <c r="A12" s="4" t="s">
        <v>47</v>
      </c>
      <c r="B12" s="11" t="n">
        <f aca="false">B9+B10</f>
        <v>100000</v>
      </c>
      <c r="C12" s="10" t="s">
        <v>36</v>
      </c>
      <c r="D12" s="12"/>
    </row>
    <row r="13" customFormat="false" ht="15" hidden="false" customHeight="true" outlineLevel="0" collapsed="false">
      <c r="A13" s="4" t="s">
        <v>48</v>
      </c>
      <c r="B13" s="11" t="n">
        <f aca="false">B9+B11</f>
        <v>150000</v>
      </c>
      <c r="C13" s="10" t="s">
        <v>36</v>
      </c>
      <c r="D13" s="12"/>
    </row>
    <row r="14" customFormat="false" ht="15" hidden="false" customHeight="true" outlineLevel="0" collapsed="false">
      <c r="A14" s="4" t="s">
        <v>49</v>
      </c>
      <c r="B14" s="9" t="n">
        <v>83100</v>
      </c>
      <c r="C14" s="10" t="s">
        <v>50</v>
      </c>
      <c r="D14" s="10" t="s">
        <v>51</v>
      </c>
    </row>
    <row r="15" customFormat="false" ht="15" hidden="false" customHeight="true" outlineLevel="0" collapsed="false">
      <c r="A15" s="4" t="s">
        <v>52</v>
      </c>
      <c r="B15" s="9" t="n">
        <v>89230.77</v>
      </c>
      <c r="C15" s="10" t="s">
        <v>50</v>
      </c>
      <c r="D15" s="10" t="s">
        <v>53</v>
      </c>
    </row>
    <row r="16" customFormat="false" ht="15" hidden="false" customHeight="true" outlineLevel="0" collapsed="false">
      <c r="A16" s="4" t="s">
        <v>54</v>
      </c>
      <c r="B16" s="11" t="n">
        <f aca="false">SUM(B14:B15)</f>
        <v>172330.77</v>
      </c>
      <c r="C16" s="10" t="s">
        <v>36</v>
      </c>
      <c r="D16" s="12"/>
    </row>
    <row r="17" customFormat="false" ht="15" hidden="false" customHeight="true" outlineLevel="0" collapsed="false">
      <c r="A17" s="4" t="s">
        <v>55</v>
      </c>
      <c r="B17" s="11" t="n">
        <f aca="false">B16-B9</f>
        <v>142330.77</v>
      </c>
      <c r="C17" s="10" t="s">
        <v>36</v>
      </c>
      <c r="D17" s="12"/>
    </row>
    <row r="18" customFormat="false" ht="15" hidden="false" customHeight="true" outlineLevel="0" collapsed="false">
      <c r="A18" s="4" t="s">
        <v>56</v>
      </c>
      <c r="B18" s="11" t="n">
        <f aca="false">B16-B12</f>
        <v>72330.77</v>
      </c>
      <c r="C18" s="10" t="s">
        <v>36</v>
      </c>
      <c r="D18" s="12"/>
    </row>
    <row r="19" customFormat="false" ht="15" hidden="false" customHeight="true" outlineLevel="0" collapsed="false">
      <c r="A19" s="4" t="s">
        <v>57</v>
      </c>
      <c r="B19" s="11" t="n">
        <f aca="false">B16-B13</f>
        <v>22330.77</v>
      </c>
      <c r="C19" s="10" t="s">
        <v>36</v>
      </c>
      <c r="D19" s="10" t="s">
        <v>58</v>
      </c>
    </row>
    <row r="20" customFormat="false" ht="15" hidden="false" customHeight="true" outlineLevel="0" collapsed="false">
      <c r="A20" s="4" t="s">
        <v>59</v>
      </c>
      <c r="B20" s="11" t="n">
        <f aca="false">B17-B10</f>
        <v>72330.77</v>
      </c>
      <c r="C20" s="10" t="s">
        <v>36</v>
      </c>
      <c r="D20" s="12"/>
    </row>
    <row r="21" customFormat="false" ht="15" hidden="false" customHeight="true" outlineLevel="0" collapsed="false">
      <c r="A21" s="4" t="s">
        <v>60</v>
      </c>
      <c r="B21" s="11" t="n">
        <f aca="false">B17-B11</f>
        <v>22330.77</v>
      </c>
      <c r="C21" s="10" t="s">
        <v>36</v>
      </c>
      <c r="D21" s="12"/>
    </row>
    <row r="23" customFormat="false" ht="15" hidden="false" customHeight="true" outlineLevel="0" collapsed="false">
      <c r="A23" s="6" t="s">
        <v>61</v>
      </c>
      <c r="B23" s="7"/>
      <c r="C23" s="7"/>
      <c r="D23" s="7"/>
    </row>
    <row r="24" customFormat="false" ht="15" hidden="false" customHeight="true" outlineLevel="0" collapsed="false">
      <c r="A24" s="8" t="s">
        <v>26</v>
      </c>
      <c r="B24" s="8" t="s">
        <v>27</v>
      </c>
      <c r="C24" s="8" t="s">
        <v>28</v>
      </c>
      <c r="D24" s="8" t="s">
        <v>29</v>
      </c>
    </row>
    <row r="25" customFormat="false" ht="15" hidden="false" customHeight="true" outlineLevel="0" collapsed="false">
      <c r="A25" s="4" t="s">
        <v>62</v>
      </c>
      <c r="B25" s="5" t="s">
        <v>63</v>
      </c>
      <c r="C25" s="10" t="s">
        <v>64</v>
      </c>
      <c r="D25" s="10" t="s">
        <v>65</v>
      </c>
    </row>
    <row r="27" customFormat="false" ht="15" hidden="false" customHeight="true" outlineLevel="0" collapsed="false">
      <c r="A27" s="6" t="s">
        <v>66</v>
      </c>
      <c r="B27" s="7"/>
      <c r="C27" s="7"/>
      <c r="D27" s="7"/>
    </row>
    <row r="28" customFormat="false" ht="15" hidden="false" customHeight="true" outlineLevel="0" collapsed="false">
      <c r="A28" s="8" t="s">
        <v>26</v>
      </c>
      <c r="B28" s="8" t="s">
        <v>27</v>
      </c>
      <c r="C28" s="8" t="s">
        <v>28</v>
      </c>
      <c r="D28" s="8" t="s">
        <v>29</v>
      </c>
    </row>
    <row r="29" customFormat="false" ht="15" hidden="false" customHeight="true" outlineLevel="0" collapsed="false">
      <c r="A29" s="4" t="s">
        <v>67</v>
      </c>
      <c r="B29" s="9" t="n">
        <v>6000</v>
      </c>
      <c r="C29" s="10" t="s">
        <v>31</v>
      </c>
      <c r="D29" s="12"/>
    </row>
    <row r="30" customFormat="false" ht="15" hidden="false" customHeight="true" outlineLevel="0" collapsed="false">
      <c r="A30" s="4" t="s">
        <v>68</v>
      </c>
      <c r="B30" s="9" t="n">
        <v>5000</v>
      </c>
      <c r="C30" s="10" t="s">
        <v>31</v>
      </c>
      <c r="D30" s="12"/>
    </row>
    <row r="31" customFormat="false" ht="15" hidden="false" customHeight="true" outlineLevel="0" collapsed="false">
      <c r="A31" s="4" t="s">
        <v>69</v>
      </c>
      <c r="B31" s="9" t="n">
        <v>2000</v>
      </c>
      <c r="C31" s="10" t="s">
        <v>31</v>
      </c>
      <c r="D31" s="12"/>
    </row>
    <row r="32" customFormat="false" ht="15" hidden="false" customHeight="true" outlineLevel="0" collapsed="false">
      <c r="A32" s="4" t="s">
        <v>70</v>
      </c>
      <c r="B32" s="11" t="n">
        <f aca="false">SUM(B29:B31)</f>
        <v>13000</v>
      </c>
      <c r="C32" s="10" t="s">
        <v>36</v>
      </c>
      <c r="D32" s="12"/>
    </row>
    <row r="33" customFormat="false" ht="15" hidden="false" customHeight="true" outlineLevel="0" collapsed="false">
      <c r="A33" s="4" t="s">
        <v>71</v>
      </c>
      <c r="B33" s="13" t="n">
        <f aca="false">B29/B32</f>
        <v>0.461538461538462</v>
      </c>
      <c r="C33" s="10" t="s">
        <v>36</v>
      </c>
      <c r="D33" s="12"/>
    </row>
    <row r="34" customFormat="false" ht="15" hidden="false" customHeight="true" outlineLevel="0" collapsed="false">
      <c r="A34" s="4" t="s">
        <v>72</v>
      </c>
      <c r="B34" s="13" t="n">
        <f aca="false">B30/B32</f>
        <v>0.384615384615385</v>
      </c>
      <c r="C34" s="10" t="s">
        <v>36</v>
      </c>
      <c r="D34" s="12"/>
    </row>
    <row r="35" customFormat="false" ht="15" hidden="false" customHeight="true" outlineLevel="0" collapsed="false">
      <c r="A35" s="4" t="s">
        <v>73</v>
      </c>
      <c r="B35" s="13" t="n">
        <f aca="false">B31/B32</f>
        <v>0.153846153846154</v>
      </c>
      <c r="C35" s="10" t="s">
        <v>36</v>
      </c>
      <c r="D35" s="12"/>
    </row>
    <row r="36" customFormat="false" ht="15" hidden="false" customHeight="true" outlineLevel="0" collapsed="false">
      <c r="A36" s="4" t="s">
        <v>74</v>
      </c>
      <c r="B36" s="5" t="s">
        <v>75</v>
      </c>
      <c r="C36" s="10" t="s">
        <v>31</v>
      </c>
      <c r="D36" s="10" t="s">
        <v>76</v>
      </c>
    </row>
    <row r="38" customFormat="false" ht="15" hidden="false" customHeight="true" outlineLevel="0" collapsed="false">
      <c r="A38" s="6" t="s">
        <v>77</v>
      </c>
      <c r="B38" s="7"/>
      <c r="C38" s="7"/>
      <c r="D38" s="7"/>
    </row>
    <row r="39" customFormat="false" ht="15" hidden="false" customHeight="true" outlineLevel="0" collapsed="false">
      <c r="A39" s="8" t="s">
        <v>26</v>
      </c>
      <c r="B39" s="8" t="s">
        <v>27</v>
      </c>
      <c r="C39" s="8" t="s">
        <v>28</v>
      </c>
      <c r="D39" s="8" t="s">
        <v>29</v>
      </c>
    </row>
    <row r="40" customFormat="false" ht="15" hidden="false" customHeight="true" outlineLevel="0" collapsed="false">
      <c r="A40" s="4" t="s">
        <v>78</v>
      </c>
      <c r="B40" s="9" t="n">
        <v>878274</v>
      </c>
      <c r="C40" s="10" t="s">
        <v>50</v>
      </c>
      <c r="D40" s="12"/>
    </row>
    <row r="41" customFormat="false" ht="15" hidden="false" customHeight="true" outlineLevel="0" collapsed="false">
      <c r="A41" s="4" t="s">
        <v>79</v>
      </c>
      <c r="B41" s="9" t="n">
        <v>89230.77</v>
      </c>
      <c r="C41" s="10" t="s">
        <v>50</v>
      </c>
      <c r="D41" s="12"/>
    </row>
    <row r="42" customFormat="false" ht="15" hidden="false" customHeight="true" outlineLevel="0" collapsed="false">
      <c r="A42" s="4" t="s">
        <v>80</v>
      </c>
      <c r="B42" s="9" t="n">
        <v>111570.37</v>
      </c>
      <c r="C42" s="10" t="s">
        <v>50</v>
      </c>
      <c r="D42" s="12"/>
    </row>
    <row r="43" customFormat="false" ht="15" hidden="false" customHeight="true" outlineLevel="0" collapsed="false">
      <c r="A43" s="4" t="s">
        <v>81</v>
      </c>
      <c r="B43" s="9" t="n">
        <v>100000</v>
      </c>
      <c r="C43" s="10" t="s">
        <v>50</v>
      </c>
      <c r="D43" s="12"/>
    </row>
    <row r="44" customFormat="false" ht="15" hidden="false" customHeight="true" outlineLevel="0" collapsed="false">
      <c r="A44" s="4" t="s">
        <v>82</v>
      </c>
      <c r="B44" s="9" t="n">
        <v>83100</v>
      </c>
      <c r="C44" s="10" t="s">
        <v>50</v>
      </c>
      <c r="D44" s="10" t="s">
        <v>83</v>
      </c>
    </row>
    <row r="45" customFormat="false" ht="15" hidden="false" customHeight="true" outlineLevel="0" collapsed="false">
      <c r="A45" s="14" t="s">
        <v>84</v>
      </c>
      <c r="B45" s="15" t="n">
        <f aca="false">SUM(B40:B44)</f>
        <v>1262175.14</v>
      </c>
      <c r="C45" s="16" t="s">
        <v>36</v>
      </c>
      <c r="D45" s="17"/>
    </row>
    <row r="46" customFormat="false" ht="15" hidden="false" customHeight="true" outlineLevel="0" collapsed="false">
      <c r="A46" s="4" t="s">
        <v>85</v>
      </c>
      <c r="B46" s="13" t="n">
        <f aca="false">B40/B45</f>
        <v>0.695841624641728</v>
      </c>
      <c r="C46" s="10" t="s">
        <v>36</v>
      </c>
      <c r="D46" s="12"/>
    </row>
    <row r="47" customFormat="false" ht="15" hidden="false" customHeight="true" outlineLevel="0" collapsed="false">
      <c r="A47" s="4" t="s">
        <v>86</v>
      </c>
      <c r="B47" s="13" t="n">
        <f aca="false">B41/B45</f>
        <v>0.0706960287619038</v>
      </c>
      <c r="C47" s="10" t="s">
        <v>36</v>
      </c>
      <c r="D47" s="12"/>
    </row>
    <row r="48" customFormat="false" ht="15" hidden="false" customHeight="true" outlineLevel="0" collapsed="false">
      <c r="A48" s="4" t="s">
        <v>87</v>
      </c>
      <c r="B48" s="13" t="n">
        <f aca="false">B42/B45</f>
        <v>0.0883953157245674</v>
      </c>
      <c r="C48" s="10" t="s">
        <v>36</v>
      </c>
      <c r="D48" s="12"/>
    </row>
    <row r="49" customFormat="false" ht="15" hidden="false" customHeight="true" outlineLevel="0" collapsed="false">
      <c r="A49" s="4" t="s">
        <v>88</v>
      </c>
      <c r="B49" s="13" t="n">
        <f aca="false">B43/B45</f>
        <v>0.0792283074122344</v>
      </c>
      <c r="C49" s="10" t="s">
        <v>36</v>
      </c>
      <c r="D49" s="12"/>
    </row>
    <row r="50" customFormat="false" ht="15" hidden="false" customHeight="true" outlineLevel="0" collapsed="false">
      <c r="A50" s="4" t="s">
        <v>89</v>
      </c>
      <c r="B50" s="13" t="n">
        <f aca="false">B44/B45</f>
        <v>0.0658387234595668</v>
      </c>
      <c r="C50" s="10" t="s">
        <v>36</v>
      </c>
      <c r="D50" s="12"/>
    </row>
    <row r="51" customFormat="false" ht="15" hidden="false" customHeight="true" outlineLevel="0" collapsed="false">
      <c r="A51" s="4" t="s">
        <v>90</v>
      </c>
      <c r="B51" s="5" t="s">
        <v>75</v>
      </c>
      <c r="C51" s="10" t="s">
        <v>31</v>
      </c>
      <c r="D51" s="10" t="s">
        <v>91</v>
      </c>
    </row>
    <row r="53" customFormat="false" ht="15" hidden="false" customHeight="true" outlineLevel="0" collapsed="false">
      <c r="A53" s="6" t="s">
        <v>92</v>
      </c>
      <c r="B53" s="7"/>
      <c r="C53" s="7"/>
      <c r="D53" s="7"/>
    </row>
    <row r="54" customFormat="false" ht="15" hidden="false" customHeight="true" outlineLevel="0" collapsed="false">
      <c r="A54" s="8" t="s">
        <v>26</v>
      </c>
      <c r="B54" s="8" t="s">
        <v>27</v>
      </c>
      <c r="C54" s="8" t="s">
        <v>28</v>
      </c>
      <c r="D54" s="8" t="s">
        <v>29</v>
      </c>
    </row>
    <row r="55" customFormat="false" ht="15" hidden="false" customHeight="true" outlineLevel="0" collapsed="false">
      <c r="A55" s="4" t="s">
        <v>93</v>
      </c>
      <c r="B55" s="5" t="s">
        <v>94</v>
      </c>
      <c r="C55" s="10" t="s">
        <v>31</v>
      </c>
      <c r="D55" s="10" t="s">
        <v>95</v>
      </c>
    </row>
    <row r="56" customFormat="false" ht="15" hidden="false" customHeight="true" outlineLevel="0" collapsed="false">
      <c r="A56" s="4" t="s">
        <v>96</v>
      </c>
      <c r="B56" s="5" t="s">
        <v>97</v>
      </c>
      <c r="C56" s="10" t="s">
        <v>31</v>
      </c>
      <c r="D56" s="10" t="s">
        <v>98</v>
      </c>
    </row>
    <row r="58" customFormat="false" ht="15" hidden="false" customHeight="true" outlineLevel="0" collapsed="false">
      <c r="A58" s="6" t="s">
        <v>99</v>
      </c>
      <c r="B58" s="7"/>
      <c r="C58" s="7"/>
      <c r="D58" s="7"/>
    </row>
    <row r="59" customFormat="false" ht="15" hidden="false" customHeight="true" outlineLevel="0" collapsed="false">
      <c r="A59" s="8" t="s">
        <v>26</v>
      </c>
      <c r="B59" s="8" t="s">
        <v>27</v>
      </c>
      <c r="C59" s="8" t="s">
        <v>28</v>
      </c>
      <c r="D59" s="8" t="s">
        <v>29</v>
      </c>
    </row>
    <row r="60" customFormat="false" ht="15" hidden="false" customHeight="true" outlineLevel="0" collapsed="false">
      <c r="A60" s="4" t="s">
        <v>100</v>
      </c>
      <c r="B60" s="9" t="n">
        <v>-215092</v>
      </c>
      <c r="C60" s="10" t="s">
        <v>50</v>
      </c>
      <c r="D60" s="10" t="s">
        <v>101</v>
      </c>
    </row>
    <row r="61" customFormat="false" ht="15" hidden="false" customHeight="true" outlineLevel="0" collapsed="false">
      <c r="A61" s="4" t="s">
        <v>102</v>
      </c>
      <c r="B61" s="5" t="s">
        <v>103</v>
      </c>
      <c r="C61" s="10" t="s">
        <v>31</v>
      </c>
      <c r="D61" s="10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3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D38" activeCellId="0" sqref="D3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30"/>
    <col collapsed="false" customWidth="true" hidden="false" outlineLevel="0" max="4" min="4" style="1" width="50"/>
  </cols>
  <sheetData>
    <row r="1" customFormat="false" ht="15.75" hidden="false" customHeight="true" outlineLevel="0" collapsed="false">
      <c r="A1" s="2" t="s">
        <v>105</v>
      </c>
    </row>
    <row r="3" customFormat="false" ht="15" hidden="false" customHeight="true" outlineLevel="0" collapsed="false">
      <c r="A3" s="6" t="s">
        <v>25</v>
      </c>
      <c r="B3" s="7"/>
      <c r="C3" s="7"/>
      <c r="D3" s="7"/>
    </row>
    <row r="4" customFormat="false" ht="15" hidden="false" customHeight="true" outlineLevel="0" collapsed="false">
      <c r="A4" s="8" t="s">
        <v>26</v>
      </c>
      <c r="B4" s="8" t="s">
        <v>27</v>
      </c>
      <c r="C4" s="8" t="s">
        <v>28</v>
      </c>
      <c r="D4" s="8" t="s">
        <v>29</v>
      </c>
    </row>
    <row r="5" customFormat="false" ht="15" hidden="false" customHeight="true" outlineLevel="0" collapsed="false">
      <c r="A5" s="4" t="s">
        <v>30</v>
      </c>
      <c r="B5" s="9" t="n">
        <v>32500</v>
      </c>
      <c r="C5" s="10" t="s">
        <v>31</v>
      </c>
      <c r="D5" s="10" t="s">
        <v>106</v>
      </c>
    </row>
    <row r="6" customFormat="false" ht="15" hidden="false" customHeight="true" outlineLevel="0" collapsed="false">
      <c r="A6" s="4" t="s">
        <v>33</v>
      </c>
      <c r="B6" s="9" t="n">
        <v>80000</v>
      </c>
      <c r="C6" s="10" t="s">
        <v>31</v>
      </c>
      <c r="D6" s="10" t="s">
        <v>107</v>
      </c>
    </row>
    <row r="7" customFormat="false" ht="15" hidden="false" customHeight="true" outlineLevel="0" collapsed="false">
      <c r="A7" s="4" t="s">
        <v>108</v>
      </c>
      <c r="B7" s="11" t="n">
        <f aca="false">B6-B5</f>
        <v>47500</v>
      </c>
      <c r="C7" s="10" t="s">
        <v>36</v>
      </c>
      <c r="D7" s="10" t="s">
        <v>109</v>
      </c>
    </row>
    <row r="8" customFormat="false" ht="15" hidden="false" customHeight="true" outlineLevel="0" collapsed="false">
      <c r="A8" s="4" t="s">
        <v>41</v>
      </c>
      <c r="B8" s="9" t="n">
        <v>125000</v>
      </c>
      <c r="C8" s="10" t="s">
        <v>31</v>
      </c>
      <c r="D8" s="10" t="s">
        <v>110</v>
      </c>
    </row>
    <row r="9" customFormat="false" ht="15" hidden="false" customHeight="true" outlineLevel="0" collapsed="false">
      <c r="A9" s="4" t="s">
        <v>43</v>
      </c>
      <c r="B9" s="9" t="n">
        <v>125000</v>
      </c>
      <c r="C9" s="10" t="s">
        <v>31</v>
      </c>
      <c r="D9" s="12"/>
    </row>
    <row r="10" customFormat="false" ht="15" hidden="false" customHeight="true" outlineLevel="0" collapsed="false">
      <c r="A10" s="4" t="s">
        <v>45</v>
      </c>
      <c r="B10" s="9" t="n">
        <v>175000</v>
      </c>
      <c r="C10" s="10" t="s">
        <v>31</v>
      </c>
      <c r="D10" s="12"/>
    </row>
    <row r="11" customFormat="false" ht="15" hidden="false" customHeight="true" outlineLevel="0" collapsed="false">
      <c r="A11" s="4" t="s">
        <v>47</v>
      </c>
      <c r="B11" s="11" t="n">
        <f aca="false">B8+B9</f>
        <v>250000</v>
      </c>
      <c r="C11" s="10" t="s">
        <v>36</v>
      </c>
      <c r="D11" s="12"/>
    </row>
    <row r="12" customFormat="false" ht="15" hidden="false" customHeight="true" outlineLevel="0" collapsed="false">
      <c r="A12" s="4" t="s">
        <v>48</v>
      </c>
      <c r="B12" s="11" t="n">
        <f aca="false">B8+B10</f>
        <v>300000</v>
      </c>
      <c r="C12" s="10" t="s">
        <v>36</v>
      </c>
      <c r="D12" s="10" t="s">
        <v>111</v>
      </c>
    </row>
    <row r="13" customFormat="false" ht="15" hidden="false" customHeight="true" outlineLevel="0" collapsed="false">
      <c r="A13" s="4" t="s">
        <v>49</v>
      </c>
      <c r="B13" s="9" t="n">
        <v>54375</v>
      </c>
      <c r="C13" s="10" t="s">
        <v>112</v>
      </c>
      <c r="D13" s="12"/>
    </row>
    <row r="14" customFormat="false" ht="15" hidden="false" customHeight="true" outlineLevel="0" collapsed="false">
      <c r="A14" s="4" t="s">
        <v>113</v>
      </c>
      <c r="B14" s="9" t="n">
        <v>60000</v>
      </c>
      <c r="C14" s="10" t="s">
        <v>112</v>
      </c>
      <c r="D14" s="10" t="s">
        <v>114</v>
      </c>
    </row>
    <row r="15" customFormat="false" ht="15" hidden="false" customHeight="true" outlineLevel="0" collapsed="false">
      <c r="A15" s="4" t="s">
        <v>115</v>
      </c>
      <c r="B15" s="9" t="n">
        <v>85000</v>
      </c>
      <c r="C15" s="10" t="s">
        <v>112</v>
      </c>
      <c r="D15" s="10" t="s">
        <v>116</v>
      </c>
    </row>
    <row r="16" customFormat="false" ht="15" hidden="false" customHeight="true" outlineLevel="0" collapsed="false">
      <c r="A16" s="4" t="s">
        <v>52</v>
      </c>
      <c r="B16" s="9" t="n">
        <v>0</v>
      </c>
      <c r="C16" s="10" t="s">
        <v>31</v>
      </c>
      <c r="D16" s="10" t="s">
        <v>117</v>
      </c>
    </row>
    <row r="17" customFormat="false" ht="15" hidden="false" customHeight="true" outlineLevel="0" collapsed="false">
      <c r="A17" s="4" t="s">
        <v>54</v>
      </c>
      <c r="B17" s="11" t="n">
        <f aca="false">SUM(B13:B16)</f>
        <v>199375</v>
      </c>
      <c r="C17" s="10" t="s">
        <v>36</v>
      </c>
      <c r="D17" s="12"/>
    </row>
    <row r="18" customFormat="false" ht="15" hidden="false" customHeight="true" outlineLevel="0" collapsed="false">
      <c r="A18" s="4" t="s">
        <v>55</v>
      </c>
      <c r="B18" s="11" t="n">
        <f aca="false">B17-B8</f>
        <v>74375</v>
      </c>
      <c r="C18" s="10" t="s">
        <v>36</v>
      </c>
      <c r="D18" s="12"/>
    </row>
    <row r="19" customFormat="false" ht="15" hidden="false" customHeight="true" outlineLevel="0" collapsed="false">
      <c r="A19" s="4" t="s">
        <v>56</v>
      </c>
      <c r="B19" s="11" t="n">
        <f aca="false">B17-B11</f>
        <v>-50625</v>
      </c>
      <c r="C19" s="10" t="s">
        <v>36</v>
      </c>
      <c r="D19" s="12"/>
    </row>
    <row r="20" customFormat="false" ht="15" hidden="false" customHeight="true" outlineLevel="0" collapsed="false">
      <c r="A20" s="4" t="s">
        <v>57</v>
      </c>
      <c r="B20" s="11" t="n">
        <f aca="false">B17-B12</f>
        <v>-100625</v>
      </c>
      <c r="C20" s="10" t="s">
        <v>36</v>
      </c>
      <c r="D20" s="12"/>
    </row>
    <row r="21" customFormat="false" ht="15" hidden="false" customHeight="true" outlineLevel="0" collapsed="false">
      <c r="A21" s="4" t="s">
        <v>59</v>
      </c>
      <c r="B21" s="11" t="n">
        <f aca="false">B18-B9</f>
        <v>-50625</v>
      </c>
      <c r="C21" s="10" t="s">
        <v>36</v>
      </c>
      <c r="D21" s="10" t="s">
        <v>118</v>
      </c>
    </row>
    <row r="22" customFormat="false" ht="15" hidden="false" customHeight="true" outlineLevel="0" collapsed="false">
      <c r="A22" s="4" t="s">
        <v>60</v>
      </c>
      <c r="B22" s="11" t="n">
        <f aca="false">B18-B10</f>
        <v>-100625</v>
      </c>
      <c r="C22" s="10" t="s">
        <v>36</v>
      </c>
      <c r="D22" s="12"/>
    </row>
    <row r="24" customFormat="false" ht="15" hidden="false" customHeight="true" outlineLevel="0" collapsed="false">
      <c r="A24" s="6" t="s">
        <v>61</v>
      </c>
      <c r="B24" s="7"/>
      <c r="C24" s="7"/>
      <c r="D24" s="7"/>
    </row>
    <row r="25" customFormat="false" ht="15" hidden="false" customHeight="true" outlineLevel="0" collapsed="false">
      <c r="A25" s="8" t="s">
        <v>26</v>
      </c>
      <c r="B25" s="8" t="s">
        <v>27</v>
      </c>
      <c r="C25" s="8" t="s">
        <v>28</v>
      </c>
      <c r="D25" s="8" t="s">
        <v>29</v>
      </c>
    </row>
    <row r="26" customFormat="false" ht="15" hidden="false" customHeight="true" outlineLevel="0" collapsed="false">
      <c r="A26" s="4" t="s">
        <v>62</v>
      </c>
      <c r="B26" s="5" t="s">
        <v>63</v>
      </c>
      <c r="C26" s="10" t="s">
        <v>64</v>
      </c>
      <c r="D26" s="10" t="s">
        <v>65</v>
      </c>
    </row>
    <row r="28" customFormat="false" ht="15" hidden="false" customHeight="true" outlineLevel="0" collapsed="false">
      <c r="A28" s="6" t="s">
        <v>66</v>
      </c>
      <c r="B28" s="7"/>
      <c r="C28" s="7"/>
      <c r="D28" s="7"/>
    </row>
    <row r="29" customFormat="false" ht="15" hidden="false" customHeight="true" outlineLevel="0" collapsed="false">
      <c r="A29" s="8" t="s">
        <v>26</v>
      </c>
      <c r="B29" s="8" t="s">
        <v>27</v>
      </c>
      <c r="C29" s="8" t="s">
        <v>28</v>
      </c>
      <c r="D29" s="8" t="s">
        <v>29</v>
      </c>
    </row>
    <row r="30" customFormat="false" ht="15" hidden="false" customHeight="true" outlineLevel="0" collapsed="false">
      <c r="A30" s="4" t="s">
        <v>119</v>
      </c>
      <c r="B30" s="9" t="n">
        <v>60000</v>
      </c>
      <c r="C30" s="10" t="s">
        <v>31</v>
      </c>
      <c r="D30" s="10" t="s">
        <v>120</v>
      </c>
    </row>
    <row r="31" customFormat="false" ht="15" hidden="false" customHeight="true" outlineLevel="0" collapsed="false">
      <c r="A31" s="4" t="s">
        <v>121</v>
      </c>
      <c r="B31" s="9" t="n">
        <v>20000</v>
      </c>
      <c r="C31" s="10" t="s">
        <v>31</v>
      </c>
      <c r="D31" s="12"/>
    </row>
    <row r="32" customFormat="false" ht="15" hidden="false" customHeight="true" outlineLevel="0" collapsed="false">
      <c r="A32" s="4" t="s">
        <v>70</v>
      </c>
      <c r="B32" s="11" t="n">
        <f aca="false">SUM(B30:B31)</f>
        <v>80000</v>
      </c>
      <c r="C32" s="10" t="s">
        <v>36</v>
      </c>
      <c r="D32" s="12"/>
    </row>
    <row r="33" customFormat="false" ht="15" hidden="false" customHeight="true" outlineLevel="0" collapsed="false">
      <c r="A33" s="4" t="s">
        <v>122</v>
      </c>
      <c r="B33" s="13" t="n">
        <f aca="false">B30/B32</f>
        <v>0.75</v>
      </c>
      <c r="C33" s="10" t="s">
        <v>36</v>
      </c>
      <c r="D33" s="12"/>
    </row>
    <row r="34" customFormat="false" ht="15" hidden="false" customHeight="true" outlineLevel="0" collapsed="false">
      <c r="A34" s="4" t="s">
        <v>123</v>
      </c>
      <c r="B34" s="13" t="n">
        <f aca="false">B31/B32</f>
        <v>0.25</v>
      </c>
      <c r="C34" s="10" t="s">
        <v>36</v>
      </c>
      <c r="D34" s="12"/>
    </row>
    <row r="35" customFormat="false" ht="15" hidden="false" customHeight="true" outlineLevel="0" collapsed="false">
      <c r="A35" s="4" t="s">
        <v>74</v>
      </c>
      <c r="B35" s="5" t="s">
        <v>75</v>
      </c>
      <c r="C35" s="10" t="s">
        <v>31</v>
      </c>
      <c r="D35" s="10" t="s">
        <v>124</v>
      </c>
    </row>
    <row r="37" customFormat="false" ht="15" hidden="false" customHeight="true" outlineLevel="0" collapsed="false">
      <c r="A37" s="6" t="s">
        <v>77</v>
      </c>
      <c r="B37" s="7"/>
      <c r="C37" s="7"/>
      <c r="D37" s="7"/>
    </row>
    <row r="38" customFormat="false" ht="15" hidden="false" customHeight="true" outlineLevel="0" collapsed="false">
      <c r="A38" s="8" t="s">
        <v>26</v>
      </c>
      <c r="B38" s="8" t="s">
        <v>27</v>
      </c>
      <c r="C38" s="8" t="s">
        <v>28</v>
      </c>
      <c r="D38" s="8" t="s">
        <v>29</v>
      </c>
    </row>
    <row r="39" customFormat="false" ht="15" hidden="false" customHeight="true" outlineLevel="0" collapsed="false">
      <c r="A39" s="4" t="s">
        <v>125</v>
      </c>
      <c r="B39" s="9" t="n">
        <v>2196689</v>
      </c>
      <c r="C39" s="10" t="s">
        <v>112</v>
      </c>
      <c r="D39" s="12"/>
    </row>
    <row r="40" customFormat="false" ht="15" hidden="false" customHeight="true" outlineLevel="0" collapsed="false">
      <c r="A40" s="4" t="s">
        <v>126</v>
      </c>
      <c r="B40" s="9" t="n">
        <v>1158833</v>
      </c>
      <c r="C40" s="10" t="s">
        <v>112</v>
      </c>
      <c r="D40" s="10" t="s">
        <v>127</v>
      </c>
    </row>
    <row r="41" customFormat="false" ht="15" hidden="false" customHeight="true" outlineLevel="0" collapsed="false">
      <c r="A41" s="4" t="s">
        <v>128</v>
      </c>
      <c r="B41" s="9" t="n">
        <v>538013.75</v>
      </c>
      <c r="C41" s="10" t="s">
        <v>112</v>
      </c>
      <c r="D41" s="12"/>
    </row>
    <row r="42" customFormat="false" ht="15" hidden="false" customHeight="true" outlineLevel="0" collapsed="false">
      <c r="A42" s="4" t="s">
        <v>129</v>
      </c>
      <c r="B42" s="9" t="n">
        <v>139351.5</v>
      </c>
      <c r="C42" s="10" t="s">
        <v>112</v>
      </c>
      <c r="D42" s="12"/>
    </row>
    <row r="43" customFormat="false" ht="15" hidden="false" customHeight="true" outlineLevel="0" collapsed="false">
      <c r="A43" s="4" t="s">
        <v>130</v>
      </c>
      <c r="B43" s="9" t="n">
        <v>199375</v>
      </c>
      <c r="C43" s="10" t="s">
        <v>112</v>
      </c>
      <c r="D43" s="10" t="s">
        <v>131</v>
      </c>
    </row>
    <row r="44" customFormat="false" ht="15" hidden="false" customHeight="true" outlineLevel="0" collapsed="false">
      <c r="A44" s="14" t="s">
        <v>84</v>
      </c>
      <c r="B44" s="15" t="n">
        <f aca="false">SUM(B39:B43)</f>
        <v>4232262.25</v>
      </c>
      <c r="C44" s="16" t="s">
        <v>36</v>
      </c>
      <c r="D44" s="17"/>
    </row>
    <row r="45" customFormat="false" ht="15" hidden="false" customHeight="true" outlineLevel="0" collapsed="false">
      <c r="A45" s="4" t="s">
        <v>132</v>
      </c>
      <c r="B45" s="13" t="n">
        <f aca="false">B39/B44</f>
        <v>0.519034235177652</v>
      </c>
      <c r="C45" s="10" t="s">
        <v>36</v>
      </c>
      <c r="D45" s="12"/>
    </row>
    <row r="46" customFormat="false" ht="15" hidden="false" customHeight="true" outlineLevel="0" collapsed="false">
      <c r="A46" s="4" t="s">
        <v>133</v>
      </c>
      <c r="B46" s="13" t="n">
        <f aca="false">B40/B44</f>
        <v>0.273809355741129</v>
      </c>
      <c r="C46" s="10" t="s">
        <v>36</v>
      </c>
      <c r="D46" s="12"/>
    </row>
    <row r="47" customFormat="false" ht="15" hidden="false" customHeight="true" outlineLevel="0" collapsed="false">
      <c r="A47" s="4" t="s">
        <v>134</v>
      </c>
      <c r="B47" s="13" t="n">
        <f aca="false">B41/B44</f>
        <v>0.127122025578637</v>
      </c>
      <c r="C47" s="10" t="s">
        <v>36</v>
      </c>
      <c r="D47" s="12"/>
    </row>
    <row r="48" customFormat="false" ht="15" hidden="false" customHeight="true" outlineLevel="0" collapsed="false">
      <c r="A48" s="4" t="s">
        <v>87</v>
      </c>
      <c r="B48" s="13" t="n">
        <f aca="false">B42/B44</f>
        <v>0.0329260078342262</v>
      </c>
      <c r="C48" s="10" t="s">
        <v>36</v>
      </c>
      <c r="D48" s="12"/>
    </row>
    <row r="49" customFormat="false" ht="15" hidden="false" customHeight="true" outlineLevel="0" collapsed="false">
      <c r="A49" s="4" t="s">
        <v>135</v>
      </c>
      <c r="B49" s="13" t="n">
        <f aca="false">B43/B44</f>
        <v>0.0471083756683556</v>
      </c>
      <c r="C49" s="10" t="s">
        <v>36</v>
      </c>
      <c r="D49" s="12"/>
    </row>
    <row r="51" customFormat="false" ht="15" hidden="false" customHeight="true" outlineLevel="0" collapsed="false">
      <c r="A51" s="3" t="s">
        <v>136</v>
      </c>
    </row>
    <row r="52" customFormat="false" ht="15" hidden="false" customHeight="true" outlineLevel="0" collapsed="false">
      <c r="A52" s="4" t="s">
        <v>137</v>
      </c>
      <c r="B52" s="9" t="n">
        <v>356040</v>
      </c>
      <c r="C52" s="10" t="s">
        <v>138</v>
      </c>
      <c r="D52" s="12"/>
    </row>
    <row r="53" customFormat="false" ht="15" hidden="false" customHeight="true" outlineLevel="0" collapsed="false">
      <c r="A53" s="4" t="s">
        <v>139</v>
      </c>
      <c r="B53" s="9" t="n">
        <v>125804.4</v>
      </c>
      <c r="C53" s="10" t="s">
        <v>138</v>
      </c>
      <c r="D53" s="12"/>
    </row>
    <row r="54" customFormat="false" ht="15" hidden="false" customHeight="true" outlineLevel="0" collapsed="false">
      <c r="A54" s="4" t="s">
        <v>140</v>
      </c>
      <c r="B54" s="9" t="n">
        <v>56169.35</v>
      </c>
      <c r="C54" s="10" t="s">
        <v>138</v>
      </c>
      <c r="D54" s="12"/>
    </row>
    <row r="55" customFormat="false" ht="15" hidden="false" customHeight="true" outlineLevel="0" collapsed="false">
      <c r="A55" s="4" t="s">
        <v>141</v>
      </c>
      <c r="B55" s="13" t="n">
        <f aca="false">B52/B41</f>
        <v>0.661767473414945</v>
      </c>
      <c r="C55" s="10" t="s">
        <v>36</v>
      </c>
      <c r="D55" s="12"/>
    </row>
    <row r="56" customFormat="false" ht="15" hidden="false" customHeight="true" outlineLevel="0" collapsed="false">
      <c r="A56" s="4" t="s">
        <v>142</v>
      </c>
      <c r="B56" s="13" t="n">
        <f aca="false">B53/B41</f>
        <v>0.233831198552082</v>
      </c>
      <c r="C56" s="10" t="s">
        <v>36</v>
      </c>
      <c r="D56" s="12"/>
    </row>
    <row r="57" customFormat="false" ht="15" hidden="false" customHeight="true" outlineLevel="0" collapsed="false">
      <c r="A57" s="4" t="s">
        <v>143</v>
      </c>
      <c r="B57" s="13" t="n">
        <f aca="false">B54/B41</f>
        <v>0.104401328032973</v>
      </c>
      <c r="C57" s="10" t="s">
        <v>36</v>
      </c>
      <c r="D57" s="12"/>
    </row>
    <row r="58" customFormat="false" ht="15" hidden="false" customHeight="true" outlineLevel="0" collapsed="false">
      <c r="A58" s="4" t="s">
        <v>90</v>
      </c>
      <c r="B58" s="5" t="s">
        <v>75</v>
      </c>
      <c r="C58" s="10" t="s">
        <v>31</v>
      </c>
      <c r="D58" s="10" t="s">
        <v>144</v>
      </c>
    </row>
    <row r="60" customFormat="false" ht="15" hidden="false" customHeight="true" outlineLevel="0" collapsed="false">
      <c r="A60" s="6" t="s">
        <v>92</v>
      </c>
      <c r="B60" s="7"/>
      <c r="C60" s="7"/>
      <c r="D60" s="7"/>
    </row>
    <row r="61" customFormat="false" ht="15" hidden="false" customHeight="true" outlineLevel="0" collapsed="false">
      <c r="A61" s="8" t="s">
        <v>26</v>
      </c>
      <c r="B61" s="8" t="s">
        <v>27</v>
      </c>
      <c r="C61" s="8" t="s">
        <v>28</v>
      </c>
      <c r="D61" s="8" t="s">
        <v>29</v>
      </c>
    </row>
    <row r="62" customFormat="false" ht="15" hidden="false" customHeight="true" outlineLevel="0" collapsed="false">
      <c r="A62" s="4" t="s">
        <v>145</v>
      </c>
      <c r="B62" s="5" t="s">
        <v>146</v>
      </c>
      <c r="C62" s="10" t="s">
        <v>147</v>
      </c>
      <c r="D62" s="10" t="s">
        <v>148</v>
      </c>
    </row>
    <row r="63" customFormat="false" ht="15" hidden="false" customHeight="true" outlineLevel="0" collapsed="false">
      <c r="A63" s="4" t="s">
        <v>149</v>
      </c>
      <c r="B63" s="18" t="n">
        <f aca="true">DATE(2026,9,29)-TODAY()</f>
        <v>46</v>
      </c>
      <c r="C63" s="10" t="s">
        <v>36</v>
      </c>
      <c r="D63" s="12"/>
    </row>
    <row r="64" customFormat="false" ht="15" hidden="false" customHeight="true" outlineLevel="0" collapsed="false">
      <c r="A64" s="4" t="s">
        <v>150</v>
      </c>
      <c r="B64" s="5" t="s">
        <v>151</v>
      </c>
      <c r="C64" s="10" t="s">
        <v>147</v>
      </c>
      <c r="D64" s="10" t="s">
        <v>152</v>
      </c>
    </row>
    <row r="65" customFormat="false" ht="15" hidden="false" customHeight="true" outlineLevel="0" collapsed="false">
      <c r="A65" s="4" t="s">
        <v>149</v>
      </c>
      <c r="B65" s="18" t="n">
        <f aca="true">DATE(2026,8,26)-TODAY()</f>
        <v>12</v>
      </c>
      <c r="C65" s="10" t="s">
        <v>36</v>
      </c>
      <c r="D65" s="10" t="s">
        <v>153</v>
      </c>
    </row>
    <row r="67" customFormat="false" ht="15" hidden="false" customHeight="true" outlineLevel="0" collapsed="false">
      <c r="A67" s="4" t="s">
        <v>96</v>
      </c>
      <c r="B67" s="5" t="s">
        <v>97</v>
      </c>
      <c r="C67" s="10" t="s">
        <v>31</v>
      </c>
      <c r="D67" s="10" t="s">
        <v>154</v>
      </c>
    </row>
    <row r="69" customFormat="false" ht="15" hidden="false" customHeight="true" outlineLevel="0" collapsed="false">
      <c r="A69" s="6" t="s">
        <v>99</v>
      </c>
      <c r="B69" s="7"/>
      <c r="C69" s="7"/>
      <c r="D69" s="7"/>
    </row>
    <row r="70" customFormat="false" ht="15" hidden="false" customHeight="true" outlineLevel="0" collapsed="false">
      <c r="A70" s="8" t="s">
        <v>26</v>
      </c>
      <c r="B70" s="8" t="s">
        <v>27</v>
      </c>
      <c r="C70" s="8" t="s">
        <v>28</v>
      </c>
      <c r="D70" s="8" t="s">
        <v>29</v>
      </c>
    </row>
    <row r="71" customFormat="false" ht="45" hidden="false" customHeight="true" outlineLevel="0" collapsed="false">
      <c r="A71" s="4" t="s">
        <v>155</v>
      </c>
      <c r="B71" s="9" t="n">
        <v>1157519.11</v>
      </c>
      <c r="C71" s="10" t="s">
        <v>31</v>
      </c>
      <c r="D71" s="10" t="s">
        <v>156</v>
      </c>
    </row>
    <row r="72" customFormat="false" ht="15" hidden="false" customHeight="true" outlineLevel="0" collapsed="false">
      <c r="A72" s="4" t="s">
        <v>100</v>
      </c>
      <c r="B72" s="9" t="n">
        <v>-162000</v>
      </c>
      <c r="C72" s="10" t="s">
        <v>157</v>
      </c>
      <c r="D72" s="10" t="s">
        <v>158</v>
      </c>
    </row>
    <row r="73" customFormat="false" ht="15" hidden="false" customHeight="true" outlineLevel="0" collapsed="false">
      <c r="A73" s="4" t="s">
        <v>102</v>
      </c>
      <c r="B73" s="5" t="s">
        <v>103</v>
      </c>
      <c r="C73" s="10" t="s">
        <v>31</v>
      </c>
      <c r="D73" s="10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2"/>
    <col collapsed="false" customWidth="true" hidden="false" outlineLevel="0" max="3" min="3" style="1" width="15"/>
    <col collapsed="false" customWidth="true" hidden="false" outlineLevel="0" max="5" min="4" style="1" width="13"/>
    <col collapsed="false" customWidth="true" hidden="false" outlineLevel="0" max="6" min="6" style="1" width="50"/>
  </cols>
  <sheetData>
    <row r="1" customFormat="false" ht="16.5" hidden="false" customHeight="true" outlineLevel="0" collapsed="false">
      <c r="A1" s="19" t="s">
        <v>160</v>
      </c>
      <c r="B1" s="19"/>
      <c r="C1" s="19"/>
      <c r="D1" s="19"/>
      <c r="E1" s="19"/>
      <c r="F1" s="19"/>
    </row>
    <row r="2" customFormat="false" ht="15" hidden="false" customHeight="true" outlineLevel="0" collapsed="false">
      <c r="A2" s="20" t="s">
        <v>161</v>
      </c>
      <c r="B2" s="20"/>
      <c r="C2" s="20"/>
      <c r="D2" s="20"/>
      <c r="E2" s="20"/>
      <c r="F2" s="20"/>
    </row>
    <row r="4" customFormat="false" ht="15" hidden="false" customHeight="true" outlineLevel="0" collapsed="false">
      <c r="A4" s="21" t="s">
        <v>162</v>
      </c>
      <c r="B4" s="21"/>
      <c r="C4" s="21"/>
      <c r="D4" s="21"/>
      <c r="E4" s="21"/>
      <c r="F4" s="21"/>
    </row>
    <row r="5" customFormat="false" ht="15" hidden="false" customHeight="true" outlineLevel="0" collapsed="false">
      <c r="A5" s="22" t="s">
        <v>163</v>
      </c>
      <c r="B5" s="22" t="s">
        <v>164</v>
      </c>
      <c r="C5" s="22" t="s">
        <v>27</v>
      </c>
      <c r="D5" s="22" t="s">
        <v>165</v>
      </c>
      <c r="E5" s="22" t="s">
        <v>166</v>
      </c>
      <c r="F5" s="22" t="s">
        <v>29</v>
      </c>
    </row>
    <row r="6" customFormat="false" ht="15" hidden="false" customHeight="true" outlineLevel="0" collapsed="false">
      <c r="A6" s="23" t="s">
        <v>167</v>
      </c>
      <c r="B6" s="24" t="str">
        <f aca="false">AMS!A41</f>
        <v>Fondo Monetario</v>
      </c>
      <c r="C6" s="25" t="n">
        <f aca="false">AMS!B41</f>
        <v>89230.77</v>
      </c>
      <c r="D6" s="26"/>
      <c r="E6" s="27" t="s">
        <v>168</v>
      </c>
      <c r="F6" s="26"/>
    </row>
    <row r="7" customFormat="false" ht="15" hidden="false" customHeight="true" outlineLevel="0" collapsed="false">
      <c r="A7" s="23"/>
      <c r="B7" s="24" t="str">
        <f aca="false">AMS!A44</f>
        <v>Liquidez (excluido FM)</v>
      </c>
      <c r="C7" s="25" t="n">
        <f aca="false">AMS!B44</f>
        <v>83100</v>
      </c>
      <c r="D7" s="26"/>
      <c r="E7" s="27" t="s">
        <v>169</v>
      </c>
      <c r="F7" s="26"/>
    </row>
    <row r="8" customFormat="false" ht="15" hidden="false" customHeight="true" outlineLevel="0" collapsed="false">
      <c r="A8" s="28"/>
      <c r="B8" s="29" t="s">
        <v>170</v>
      </c>
      <c r="C8" s="30" t="n">
        <f aca="false">SUM(C6:C7)</f>
        <v>172330.77</v>
      </c>
      <c r="D8" s="31" t="n">
        <f aca="false">C8/C$15</f>
        <v>0.136534752221471</v>
      </c>
      <c r="E8" s="28"/>
      <c r="F8" s="28"/>
    </row>
    <row r="9" customFormat="false" ht="15" hidden="false" customHeight="true" outlineLevel="0" collapsed="false">
      <c r="A9" s="32" t="s">
        <v>171</v>
      </c>
      <c r="B9" s="33" t="str">
        <f aca="false">AMS!A40</f>
        <v>SP500 (fondos indexados)</v>
      </c>
      <c r="C9" s="34" t="n">
        <f aca="false">AMS!B40</f>
        <v>878274</v>
      </c>
      <c r="D9" s="35"/>
      <c r="E9" s="36" t="s">
        <v>172</v>
      </c>
      <c r="F9" s="35"/>
    </row>
    <row r="10" customFormat="false" ht="15" hidden="false" customHeight="true" outlineLevel="0" collapsed="false">
      <c r="A10" s="37"/>
      <c r="B10" s="38" t="s">
        <v>173</v>
      </c>
      <c r="C10" s="39" t="n">
        <f aca="false">C9</f>
        <v>878274</v>
      </c>
      <c r="D10" s="40" t="n">
        <f aca="false">C10/C$15</f>
        <v>0.695841624641728</v>
      </c>
      <c r="E10" s="37"/>
      <c r="F10" s="37"/>
    </row>
    <row r="11" customFormat="false" ht="15" hidden="false" customHeight="true" outlineLevel="0" collapsed="false">
      <c r="A11" s="41" t="s">
        <v>174</v>
      </c>
      <c r="B11" s="42" t="str">
        <f aca="false">AMS!A42</f>
        <v>ETF</v>
      </c>
      <c r="C11" s="43" t="n">
        <f aca="false">AMS!B42</f>
        <v>111570.37</v>
      </c>
      <c r="D11" s="44"/>
      <c r="E11" s="45" t="s">
        <v>175</v>
      </c>
      <c r="F11" s="44"/>
    </row>
    <row r="12" customFormat="false" ht="15" hidden="false" customHeight="true" outlineLevel="0" collapsed="false">
      <c r="A12" s="41"/>
      <c r="B12" s="42" t="str">
        <f aca="false">AMS!A43</f>
        <v>Pisos</v>
      </c>
      <c r="C12" s="43" t="n">
        <f aca="false">AMS!B43</f>
        <v>100000</v>
      </c>
      <c r="D12" s="44"/>
      <c r="E12" s="45" t="s">
        <v>176</v>
      </c>
      <c r="F12" s="44"/>
    </row>
    <row r="13" customFormat="false" ht="15" hidden="false" customHeight="true" outlineLevel="0" collapsed="false">
      <c r="A13" s="46"/>
      <c r="B13" s="47" t="s">
        <v>177</v>
      </c>
      <c r="C13" s="48" t="n">
        <f aca="false">SUM(C11:C12)</f>
        <v>211570.37</v>
      </c>
      <c r="D13" s="49" t="n">
        <f aca="false">C13/C$15</f>
        <v>0.167623623136802</v>
      </c>
      <c r="E13" s="46"/>
      <c r="F13" s="46"/>
    </row>
    <row r="15" customFormat="false" ht="15" hidden="false" customHeight="true" outlineLevel="0" collapsed="false">
      <c r="A15" s="50" t="s">
        <v>178</v>
      </c>
      <c r="B15" s="50"/>
      <c r="C15" s="51" t="n">
        <f aca="false">C8+C10+C13</f>
        <v>1262175.14</v>
      </c>
      <c r="D15" s="52" t="n">
        <f aca="false">C15/C15</f>
        <v>1</v>
      </c>
      <c r="E15" s="53"/>
      <c r="F15" s="53"/>
    </row>
    <row r="16" customFormat="false" ht="25.5" hidden="false" customHeight="true" outlineLevel="0" collapsed="false">
      <c r="B16" s="54" t="s">
        <v>179</v>
      </c>
      <c r="C16" s="55" t="n">
        <f aca="false">C15-AMS!B45</f>
        <v>0</v>
      </c>
      <c r="F16" s="56" t="s">
        <v>180</v>
      </c>
    </row>
    <row r="19" customFormat="false" ht="15" hidden="false" customHeight="true" outlineLevel="0" collapsed="false">
      <c r="A19" s="21" t="s">
        <v>181</v>
      </c>
      <c r="B19" s="21"/>
      <c r="C19" s="21"/>
      <c r="D19" s="21"/>
      <c r="E19" s="21"/>
      <c r="F19" s="21"/>
    </row>
    <row r="20" customFormat="false" ht="15" hidden="false" customHeight="true" outlineLevel="0" collapsed="false">
      <c r="A20" s="22" t="s">
        <v>163</v>
      </c>
      <c r="B20" s="22" t="s">
        <v>164</v>
      </c>
      <c r="C20" s="22" t="s">
        <v>27</v>
      </c>
      <c r="D20" s="22" t="s">
        <v>165</v>
      </c>
      <c r="E20" s="22" t="s">
        <v>166</v>
      </c>
      <c r="F20" s="22" t="s">
        <v>29</v>
      </c>
    </row>
    <row r="21" customFormat="false" ht="15" hidden="false" customHeight="true" outlineLevel="0" collapsed="false">
      <c r="A21" s="23" t="s">
        <v>167</v>
      </c>
      <c r="B21" s="24" t="str">
        <f aca="false">AML!A43</f>
        <v>Liquidez + Depósitos (excluido FM)</v>
      </c>
      <c r="C21" s="25" t="n">
        <f aca="false">AML!B43</f>
        <v>199375</v>
      </c>
      <c r="D21" s="26"/>
      <c r="E21" s="27" t="s">
        <v>182</v>
      </c>
      <c r="F21" s="26"/>
    </row>
    <row r="22" customFormat="false" ht="15" hidden="false" customHeight="true" outlineLevel="0" collapsed="false">
      <c r="A22" s="28"/>
      <c r="B22" s="29" t="s">
        <v>170</v>
      </c>
      <c r="C22" s="30" t="n">
        <f aca="false">C21</f>
        <v>199375</v>
      </c>
      <c r="D22" s="31" t="n">
        <f aca="false">C22/C$30</f>
        <v>0.0471083756683556</v>
      </c>
      <c r="E22" s="28"/>
      <c r="F22" s="28"/>
    </row>
    <row r="23" customFormat="false" ht="15" hidden="false" customHeight="true" outlineLevel="0" collapsed="false">
      <c r="A23" s="32" t="s">
        <v>171</v>
      </c>
      <c r="B23" s="33" t="str">
        <f aca="false">AML!A39</f>
        <v>Fondos RV</v>
      </c>
      <c r="C23" s="34" t="n">
        <f aca="false">AML!B39</f>
        <v>2196689</v>
      </c>
      <c r="D23" s="35"/>
      <c r="E23" s="36" t="s">
        <v>183</v>
      </c>
      <c r="F23" s="35"/>
    </row>
    <row r="24" customFormat="false" ht="30" hidden="false" customHeight="true" outlineLevel="0" collapsed="false">
      <c r="A24" s="32"/>
      <c r="B24" s="33" t="str">
        <f aca="false">AML!A40</f>
        <v>Planes de Pensiones (Papá 754.162,54 + Mamá 403.356,58)</v>
      </c>
      <c r="C24" s="34" t="n">
        <f aca="false">AML!B40</f>
        <v>1158833</v>
      </c>
      <c r="D24" s="35"/>
      <c r="E24" s="36" t="s">
        <v>184</v>
      </c>
      <c r="F24" s="57" t="s">
        <v>185</v>
      </c>
    </row>
    <row r="25" customFormat="false" ht="15" hidden="false" customHeight="true" outlineLevel="0" collapsed="false">
      <c r="A25" s="37"/>
      <c r="B25" s="38" t="s">
        <v>173</v>
      </c>
      <c r="C25" s="39" t="n">
        <f aca="false">SUM(C23:C24)</f>
        <v>3355522</v>
      </c>
      <c r="D25" s="40" t="n">
        <f aca="false">C25/C$30</f>
        <v>0.792843590918781</v>
      </c>
      <c r="E25" s="37"/>
      <c r="F25" s="37"/>
    </row>
    <row r="26" customFormat="false" ht="30" hidden="false" customHeight="true" outlineLevel="0" collapsed="false">
      <c r="A26" s="41" t="s">
        <v>174</v>
      </c>
      <c r="B26" s="42" t="str">
        <f aca="false">AML!A41</f>
        <v>Acciones (Iberdrola 356.040 + BBVA 125.804,4 + TEF 56.169,35)</v>
      </c>
      <c r="C26" s="43" t="n">
        <f aca="false">AML!B41</f>
        <v>538013.75</v>
      </c>
      <c r="D26" s="44"/>
      <c r="E26" s="45" t="s">
        <v>186</v>
      </c>
      <c r="F26" s="58" t="s">
        <v>187</v>
      </c>
    </row>
    <row r="27" customFormat="false" ht="15" hidden="false" customHeight="true" outlineLevel="0" collapsed="false">
      <c r="A27" s="41"/>
      <c r="B27" s="42" t="str">
        <f aca="false">AML!A42</f>
        <v>ETF (Aristócratas)</v>
      </c>
      <c r="C27" s="43" t="n">
        <f aca="false">AML!B42</f>
        <v>139351.5</v>
      </c>
      <c r="D27" s="44"/>
      <c r="E27" s="45" t="s">
        <v>188</v>
      </c>
      <c r="F27" s="44"/>
    </row>
    <row r="28" customFormat="false" ht="15" hidden="false" customHeight="true" outlineLevel="0" collapsed="false">
      <c r="A28" s="46"/>
      <c r="B28" s="47" t="s">
        <v>177</v>
      </c>
      <c r="C28" s="48" t="n">
        <f aca="false">SUM(C26:C27)</f>
        <v>677365.25</v>
      </c>
      <c r="D28" s="49" t="n">
        <f aca="false">C28/C$30</f>
        <v>0.160048033412863</v>
      </c>
      <c r="E28" s="46"/>
      <c r="F28" s="46"/>
    </row>
    <row r="30" customFormat="false" ht="15" hidden="false" customHeight="true" outlineLevel="0" collapsed="false">
      <c r="A30" s="50" t="s">
        <v>189</v>
      </c>
      <c r="B30" s="50"/>
      <c r="C30" s="51" t="n">
        <f aca="false">C22+C25+C28</f>
        <v>4232262.25</v>
      </c>
      <c r="D30" s="52" t="n">
        <f aca="false">C30/C30</f>
        <v>1</v>
      </c>
      <c r="E30" s="53"/>
      <c r="F30" s="53"/>
    </row>
    <row r="31" customFormat="false" ht="25.5" hidden="false" customHeight="true" outlineLevel="0" collapsed="false">
      <c r="B31" s="54" t="s">
        <v>179</v>
      </c>
      <c r="C31" s="55" t="n">
        <f aca="false">C30-AML!B44</f>
        <v>0</v>
      </c>
      <c r="F31" s="56" t="s">
        <v>180</v>
      </c>
    </row>
    <row r="33" customFormat="false" ht="15" hidden="false" customHeight="true" outlineLevel="0" collapsed="false">
      <c r="A33" s="59" t="s">
        <v>190</v>
      </c>
      <c r="B33" s="59"/>
      <c r="C33" s="59"/>
      <c r="D33" s="59"/>
      <c r="E33" s="59"/>
      <c r="F33" s="59"/>
    </row>
    <row r="34" customFormat="false" ht="15" hidden="false" customHeight="true" outlineLevel="0" collapsed="false">
      <c r="A34" s="59"/>
      <c r="B34" s="59"/>
      <c r="C34" s="59"/>
      <c r="D34" s="59"/>
      <c r="E34" s="59"/>
      <c r="F34" s="59"/>
    </row>
    <row r="35" customFormat="false" ht="15" hidden="false" customHeight="true" outlineLevel="0" collapsed="false">
      <c r="A35" s="59"/>
      <c r="B35" s="59"/>
      <c r="C35" s="59"/>
      <c r="D35" s="59"/>
      <c r="E35" s="59"/>
      <c r="F35" s="59"/>
    </row>
  </sheetData>
  <mergeCells count="11">
    <mergeCell ref="A1:F1"/>
    <mergeCell ref="A2:F2"/>
    <mergeCell ref="A4:F4"/>
    <mergeCell ref="A6:A7"/>
    <mergeCell ref="A11:A12"/>
    <mergeCell ref="A15:B15"/>
    <mergeCell ref="A19:F19"/>
    <mergeCell ref="A23:A24"/>
    <mergeCell ref="A26:A27"/>
    <mergeCell ref="A30:B30"/>
    <mergeCell ref="A33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8" min="2" style="1" width="16"/>
  </cols>
  <sheetData>
    <row r="1" customFormat="false" ht="15.75" hidden="false" customHeight="true" outlineLevel="0" collapsed="false">
      <c r="A1" s="60" t="s">
        <v>191</v>
      </c>
      <c r="B1" s="60"/>
      <c r="C1" s="60"/>
      <c r="D1" s="60"/>
      <c r="E1" s="60"/>
      <c r="F1" s="60"/>
      <c r="G1" s="60"/>
      <c r="H1" s="60"/>
    </row>
    <row r="2" customFormat="false" ht="15" hidden="false" customHeight="true" outlineLevel="0" collapsed="false">
      <c r="A2" s="61" t="s">
        <v>192</v>
      </c>
      <c r="B2" s="61"/>
      <c r="C2" s="61"/>
      <c r="D2" s="61"/>
      <c r="E2" s="61"/>
      <c r="F2" s="61"/>
      <c r="G2" s="61"/>
      <c r="H2" s="61"/>
    </row>
    <row r="4" customFormat="false" ht="15" hidden="false" customHeight="true" outlineLevel="0" collapsed="false">
      <c r="A4" s="62" t="s">
        <v>193</v>
      </c>
      <c r="B4" s="62"/>
      <c r="C4" s="62"/>
      <c r="D4" s="62"/>
      <c r="E4" s="62"/>
      <c r="F4" s="62"/>
      <c r="G4" s="62"/>
      <c r="H4" s="62"/>
    </row>
    <row r="5" customFormat="false" ht="15" hidden="false" customHeight="true" outlineLevel="0" collapsed="false">
      <c r="A5" s="63" t="s">
        <v>26</v>
      </c>
      <c r="B5" s="63" t="s">
        <v>27</v>
      </c>
      <c r="C5" s="63" t="s">
        <v>28</v>
      </c>
      <c r="D5" s="63" t="s">
        <v>29</v>
      </c>
      <c r="E5" s="63"/>
      <c r="F5" s="63"/>
      <c r="G5" s="63"/>
      <c r="H5" s="63"/>
    </row>
    <row r="6" customFormat="false" ht="30" hidden="false" customHeight="true" outlineLevel="0" collapsed="false">
      <c r="A6" s="64" t="s">
        <v>194</v>
      </c>
      <c r="B6" s="65" t="n">
        <v>46247</v>
      </c>
      <c r="C6" s="66" t="s">
        <v>31</v>
      </c>
      <c r="D6" s="67" t="s">
        <v>195</v>
      </c>
      <c r="E6" s="67"/>
      <c r="F6" s="67"/>
      <c r="G6" s="67"/>
      <c r="H6" s="67"/>
    </row>
    <row r="7" customFormat="false" ht="30" hidden="false" customHeight="true" outlineLevel="0" collapsed="false">
      <c r="A7" s="64" t="s">
        <v>196</v>
      </c>
      <c r="B7" s="68" t="n">
        <v>878274</v>
      </c>
      <c r="C7" s="66" t="s">
        <v>31</v>
      </c>
      <c r="D7" s="67" t="s">
        <v>197</v>
      </c>
      <c r="E7" s="67"/>
      <c r="F7" s="67"/>
      <c r="G7" s="67"/>
      <c r="H7" s="67"/>
    </row>
    <row r="8" customFormat="false" ht="30" hidden="false" customHeight="true" outlineLevel="0" collapsed="false">
      <c r="A8" s="64" t="s">
        <v>198</v>
      </c>
      <c r="B8" s="68" t="n">
        <v>2196689</v>
      </c>
      <c r="C8" s="66" t="s">
        <v>31</v>
      </c>
      <c r="D8" s="67" t="s">
        <v>199</v>
      </c>
      <c r="E8" s="67"/>
      <c r="F8" s="67"/>
      <c r="G8" s="67"/>
      <c r="H8" s="67"/>
    </row>
    <row r="9" customFormat="false" ht="30" hidden="false" customHeight="true" outlineLevel="0" collapsed="false">
      <c r="A9" s="64" t="s">
        <v>200</v>
      </c>
      <c r="B9" s="68" t="n">
        <v>1158833</v>
      </c>
      <c r="C9" s="66" t="s">
        <v>31</v>
      </c>
      <c r="D9" s="67" t="s">
        <v>201</v>
      </c>
      <c r="E9" s="67"/>
      <c r="F9" s="67"/>
      <c r="G9" s="67"/>
      <c r="H9" s="67"/>
    </row>
    <row r="10" customFormat="false" ht="30" hidden="false" customHeight="true" outlineLevel="0" collapsed="false">
      <c r="A10" s="69" t="s">
        <v>202</v>
      </c>
      <c r="B10" s="70" t="n">
        <f aca="false">B8+B9</f>
        <v>3355522</v>
      </c>
      <c r="C10" s="66" t="s">
        <v>36</v>
      </c>
      <c r="D10" s="67" t="s">
        <v>203</v>
      </c>
      <c r="E10" s="67"/>
      <c r="F10" s="67"/>
      <c r="G10" s="67"/>
      <c r="H10" s="67"/>
    </row>
    <row r="12" customFormat="false" ht="15" hidden="false" customHeight="true" outlineLevel="0" collapsed="false">
      <c r="A12" s="62" t="s">
        <v>204</v>
      </c>
      <c r="B12" s="62"/>
      <c r="C12" s="62"/>
      <c r="D12" s="62"/>
      <c r="E12" s="62"/>
      <c r="F12" s="62"/>
      <c r="G12" s="62"/>
      <c r="H12" s="62"/>
    </row>
    <row r="13" customFormat="false" ht="15" hidden="false" customHeight="true" outlineLevel="0" collapsed="false">
      <c r="A13" s="63" t="s">
        <v>26</v>
      </c>
      <c r="B13" s="63" t="s">
        <v>27</v>
      </c>
      <c r="C13" s="63" t="s">
        <v>28</v>
      </c>
      <c r="D13" s="63" t="s">
        <v>29</v>
      </c>
      <c r="E13" s="63"/>
      <c r="F13" s="63"/>
      <c r="G13" s="63"/>
      <c r="H13" s="63"/>
    </row>
    <row r="14" customFormat="false" ht="42" hidden="false" customHeight="true" outlineLevel="0" collapsed="false">
      <c r="A14" s="64" t="s">
        <v>205</v>
      </c>
      <c r="B14" s="71" t="n">
        <v>0.07</v>
      </c>
      <c r="C14" s="66" t="s">
        <v>31</v>
      </c>
      <c r="D14" s="67" t="s">
        <v>206</v>
      </c>
      <c r="E14" s="67"/>
      <c r="F14" s="67"/>
      <c r="G14" s="67"/>
      <c r="H14" s="67"/>
    </row>
    <row r="15" customFormat="false" ht="42" hidden="false" customHeight="true" outlineLevel="0" collapsed="false">
      <c r="A15" s="64" t="s">
        <v>207</v>
      </c>
      <c r="B15" s="71" t="n">
        <v>0.094</v>
      </c>
      <c r="C15" s="66" t="s">
        <v>31</v>
      </c>
      <c r="D15" s="67" t="s">
        <v>208</v>
      </c>
      <c r="E15" s="67"/>
      <c r="F15" s="67"/>
      <c r="G15" s="67"/>
      <c r="H15" s="67"/>
    </row>
    <row r="17" customFormat="false" ht="15" hidden="false" customHeight="true" outlineLevel="0" collapsed="false">
      <c r="A17" s="62" t="s">
        <v>209</v>
      </c>
      <c r="B17" s="62"/>
      <c r="C17" s="62"/>
      <c r="D17" s="62"/>
      <c r="E17" s="62"/>
      <c r="F17" s="62"/>
      <c r="G17" s="62"/>
      <c r="H17" s="62"/>
    </row>
    <row r="18" customFormat="false" ht="15" hidden="false" customHeight="true" outlineLevel="0" collapsed="false">
      <c r="A18" s="63" t="s">
        <v>210</v>
      </c>
      <c r="B18" s="63" t="s">
        <v>211</v>
      </c>
      <c r="C18" s="63" t="s">
        <v>212</v>
      </c>
      <c r="D18" s="72" t="s">
        <v>213</v>
      </c>
      <c r="E18" s="73" t="s">
        <v>214</v>
      </c>
      <c r="F18" s="63" t="s">
        <v>215</v>
      </c>
      <c r="G18" s="63"/>
      <c r="H18" s="63"/>
    </row>
    <row r="19" customFormat="false" ht="15" hidden="false" customHeight="true" outlineLevel="0" collapsed="false">
      <c r="A19" s="74" t="s">
        <v>216</v>
      </c>
      <c r="B19" s="75" t="n">
        <f aca="false">DATE(YEAR($B$6)+5,MONTH($B$6),DAY($B$6))</f>
        <v>48073</v>
      </c>
      <c r="C19" s="76" t="n">
        <f aca="false">$B$7*(1+$B$14)^5</f>
        <v>1231824.71872881</v>
      </c>
      <c r="D19" s="77" t="n">
        <f aca="false">$B$7*(1+$B$15)^5</f>
        <v>1376311.17540442</v>
      </c>
      <c r="E19" s="78" t="n">
        <f aca="false">$B$10*(1+$B$14)^5</f>
        <v>4706293.18850193</v>
      </c>
      <c r="F19" s="76" t="n">
        <f aca="false">$B$10*(1+$B$15)^5</f>
        <v>5258316.22923529</v>
      </c>
    </row>
    <row r="20" customFormat="false" ht="15" hidden="false" customHeight="true" outlineLevel="0" collapsed="false">
      <c r="A20" s="74" t="s">
        <v>217</v>
      </c>
      <c r="B20" s="75" t="n">
        <f aca="false">DATE(YEAR($B$6)+10,MONTH($B$6),DAY($B$6))</f>
        <v>49900</v>
      </c>
      <c r="C20" s="76" t="n">
        <f aca="false">$B$7*(1+$B$14)^10</f>
        <v>1727697.89117214</v>
      </c>
      <c r="D20" s="77" t="n">
        <f aca="false">$B$7*(1+$B$15)^10</f>
        <v>2156767.08127885</v>
      </c>
      <c r="E20" s="78" t="n">
        <f aca="false">$B$10*(1+$B$14)^10</f>
        <v>6600819.656715</v>
      </c>
      <c r="F20" s="76" t="n">
        <f aca="false">$B$10*(1+$B$15)^10</f>
        <v>8240115.71571852</v>
      </c>
    </row>
    <row r="21" customFormat="false" ht="15" hidden="false" customHeight="true" outlineLevel="0" collapsed="false">
      <c r="A21" s="74" t="s">
        <v>218</v>
      </c>
      <c r="B21" s="75" t="n">
        <f aca="false">DATE(YEAR($B$6)+15,MONTH($B$6),DAY($B$6))</f>
        <v>51726</v>
      </c>
      <c r="C21" s="76" t="n">
        <f aca="false">$B$7*(1+$B$14)^15</f>
        <v>2423185.66739022</v>
      </c>
      <c r="D21" s="77" t="n">
        <f aca="false">$B$7*(1+$B$15)^15</f>
        <v>3379791.08650428</v>
      </c>
      <c r="E21" s="78" t="n">
        <f aca="false">$B$10*(1+$B$14)^15</f>
        <v>9257991.03356421</v>
      </c>
      <c r="F21" s="76" t="n">
        <f aca="false">$B$10*(1+$B$15)^15</f>
        <v>12912785.0148917</v>
      </c>
    </row>
    <row r="23" customFormat="false" ht="15" hidden="false" customHeight="true" outlineLevel="0" collapsed="false">
      <c r="A23" s="62" t="s">
        <v>219</v>
      </c>
      <c r="B23" s="62"/>
      <c r="C23" s="62"/>
      <c r="D23" s="62"/>
      <c r="E23" s="62"/>
      <c r="F23" s="62"/>
      <c r="G23" s="62"/>
      <c r="H23" s="62"/>
    </row>
    <row r="24" customFormat="false" ht="15" hidden="false" customHeight="true" outlineLevel="0" collapsed="false">
      <c r="A24" s="63" t="s">
        <v>220</v>
      </c>
      <c r="B24" s="63" t="s">
        <v>221</v>
      </c>
      <c r="C24" s="63" t="s">
        <v>222</v>
      </c>
      <c r="D24" s="63" t="s">
        <v>223</v>
      </c>
      <c r="E24" s="72" t="s">
        <v>224</v>
      </c>
      <c r="F24" s="73" t="s">
        <v>225</v>
      </c>
      <c r="G24" s="63" t="s">
        <v>226</v>
      </c>
      <c r="H24" s="63" t="s">
        <v>227</v>
      </c>
    </row>
    <row r="25" customFormat="false" ht="15" hidden="false" customHeight="true" outlineLevel="0" collapsed="false">
      <c r="A25" s="79"/>
      <c r="B25" s="80" t="str">
        <f aca="false">IF($A25="","",($A25-$B$6)/365.25)</f>
        <v/>
      </c>
      <c r="C25" s="68"/>
      <c r="D25" s="81" t="str">
        <f aca="false">IF($A25="","",$B$7*(1+$B$15)^$B25)</f>
        <v/>
      </c>
      <c r="E25" s="82" t="str">
        <f aca="false">IF(OR($A25="",$C25=""),"",$C25-$D25)</f>
        <v/>
      </c>
      <c r="F25" s="83"/>
      <c r="G25" s="81" t="str">
        <f aca="false">IF($A25="","",$B$10*(1+$B$15)^$B25)</f>
        <v/>
      </c>
      <c r="H25" s="84" t="str">
        <f aca="false">IF(OR($A25="",$F25=""),"",$F25-$G25)</f>
        <v/>
      </c>
    </row>
    <row r="26" customFormat="false" ht="15" hidden="false" customHeight="true" outlineLevel="0" collapsed="false">
      <c r="A26" s="79"/>
      <c r="B26" s="80" t="str">
        <f aca="false">IF($A26="","",($A26-$B$6)/365.25)</f>
        <v/>
      </c>
      <c r="C26" s="68"/>
      <c r="D26" s="81" t="str">
        <f aca="false">IF($A26="","",$B$7*(1+$B$15)^$B26)</f>
        <v/>
      </c>
      <c r="E26" s="82" t="str">
        <f aca="false">IF(OR($A26="",$C26=""),"",$C26-$D26)</f>
        <v/>
      </c>
      <c r="F26" s="83"/>
      <c r="G26" s="81" t="str">
        <f aca="false">IF($A26="","",$B$10*(1+$B$15)^$B26)</f>
        <v/>
      </c>
      <c r="H26" s="84" t="str">
        <f aca="false">IF(OR($A26="",$F26=""),"",$F26-$G26)</f>
        <v/>
      </c>
    </row>
    <row r="27" customFormat="false" ht="15" hidden="false" customHeight="true" outlineLevel="0" collapsed="false">
      <c r="A27" s="79"/>
      <c r="B27" s="80" t="str">
        <f aca="false">IF($A27="","",($A27-$B$6)/365.25)</f>
        <v/>
      </c>
      <c r="C27" s="68"/>
      <c r="D27" s="81" t="str">
        <f aca="false">IF($A27="","",$B$7*(1+$B$15)^$B27)</f>
        <v/>
      </c>
      <c r="E27" s="82" t="str">
        <f aca="false">IF(OR($A27="",$C27=""),"",$C27-$D27)</f>
        <v/>
      </c>
      <c r="F27" s="83"/>
      <c r="G27" s="81" t="str">
        <f aca="false">IF($A27="","",$B$10*(1+$B$15)^$B27)</f>
        <v/>
      </c>
      <c r="H27" s="84" t="str">
        <f aca="false">IF(OR($A27="",$F27=""),"",$F27-$G27)</f>
        <v/>
      </c>
    </row>
    <row r="28" customFormat="false" ht="15" hidden="false" customHeight="true" outlineLevel="0" collapsed="false">
      <c r="A28" s="79"/>
      <c r="B28" s="80" t="str">
        <f aca="false">IF($A28="","",($A28-$B$6)/365.25)</f>
        <v/>
      </c>
      <c r="C28" s="68"/>
      <c r="D28" s="81" t="str">
        <f aca="false">IF($A28="","",$B$7*(1+$B$15)^$B28)</f>
        <v/>
      </c>
      <c r="E28" s="82" t="str">
        <f aca="false">IF(OR($A28="",$C28=""),"",$C28-$D28)</f>
        <v/>
      </c>
      <c r="F28" s="83"/>
      <c r="G28" s="81" t="str">
        <f aca="false">IF($A28="","",$B$10*(1+$B$15)^$B28)</f>
        <v/>
      </c>
      <c r="H28" s="84" t="str">
        <f aca="false">IF(OR($A28="",$F28=""),"",$F28-$G28)</f>
        <v/>
      </c>
    </row>
    <row r="29" customFormat="false" ht="15" hidden="false" customHeight="true" outlineLevel="0" collapsed="false">
      <c r="A29" s="79"/>
      <c r="B29" s="80" t="str">
        <f aca="false">IF($A29="","",($A29-$B$6)/365.25)</f>
        <v/>
      </c>
      <c r="C29" s="68"/>
      <c r="D29" s="81" t="str">
        <f aca="false">IF($A29="","",$B$7*(1+$B$15)^$B29)</f>
        <v/>
      </c>
      <c r="E29" s="82" t="str">
        <f aca="false">IF(OR($A29="",$C29=""),"",$C29-$D29)</f>
        <v/>
      </c>
      <c r="F29" s="83"/>
      <c r="G29" s="81" t="str">
        <f aca="false">IF($A29="","",$B$10*(1+$B$15)^$B29)</f>
        <v/>
      </c>
      <c r="H29" s="84" t="str">
        <f aca="false">IF(OR($A29="",$F29=""),"",$F29-$G29)</f>
        <v/>
      </c>
    </row>
    <row r="30" customFormat="false" ht="15" hidden="false" customHeight="true" outlineLevel="0" collapsed="false">
      <c r="A30" s="79"/>
      <c r="B30" s="80" t="str">
        <f aca="false">IF($A30="","",($A30-$B$6)/365.25)</f>
        <v/>
      </c>
      <c r="C30" s="68"/>
      <c r="D30" s="81" t="str">
        <f aca="false">IF($A30="","",$B$7*(1+$B$15)^$B30)</f>
        <v/>
      </c>
      <c r="E30" s="82" t="str">
        <f aca="false">IF(OR($A30="",$C30=""),"",$C30-$D30)</f>
        <v/>
      </c>
      <c r="F30" s="83"/>
      <c r="G30" s="81" t="str">
        <f aca="false">IF($A30="","",$B$10*(1+$B$15)^$B30)</f>
        <v/>
      </c>
      <c r="H30" s="84" t="str">
        <f aca="false">IF(OR($A30="",$F30=""),"",$F30-$G30)</f>
        <v/>
      </c>
    </row>
    <row r="32" customFormat="false" ht="15" hidden="false" customHeight="true" outlineLevel="0" collapsed="false">
      <c r="A32" s="85" t="s">
        <v>228</v>
      </c>
      <c r="B32" s="85"/>
      <c r="C32" s="85"/>
      <c r="D32" s="85"/>
      <c r="E32" s="85"/>
      <c r="F32" s="85"/>
      <c r="G32" s="85"/>
      <c r="H32" s="85"/>
    </row>
    <row r="33" customFormat="false" ht="15" hidden="false" customHeight="true" outlineLevel="0" collapsed="false">
      <c r="A33" s="85"/>
      <c r="B33" s="85"/>
      <c r="C33" s="85"/>
      <c r="D33" s="85"/>
      <c r="E33" s="85"/>
      <c r="F33" s="85"/>
      <c r="G33" s="85"/>
      <c r="H33" s="85"/>
    </row>
    <row r="34" customFormat="false" ht="15" hidden="false" customHeight="true" outlineLevel="0" collapsed="false">
      <c r="A34" s="85"/>
      <c r="B34" s="85"/>
      <c r="C34" s="85"/>
      <c r="D34" s="85"/>
      <c r="E34" s="85"/>
      <c r="F34" s="85"/>
      <c r="G34" s="85"/>
      <c r="H34" s="85"/>
    </row>
  </sheetData>
  <mergeCells count="16">
    <mergeCell ref="A1:H1"/>
    <mergeCell ref="A2:H2"/>
    <mergeCell ref="A4:H4"/>
    <mergeCell ref="D5:H5"/>
    <mergeCell ref="D6:H6"/>
    <mergeCell ref="D7:H7"/>
    <mergeCell ref="D8:H8"/>
    <mergeCell ref="D9:H9"/>
    <mergeCell ref="D10:H10"/>
    <mergeCell ref="A12:H12"/>
    <mergeCell ref="D13:H13"/>
    <mergeCell ref="D14:H14"/>
    <mergeCell ref="D15:H15"/>
    <mergeCell ref="A17:H17"/>
    <mergeCell ref="A23:H23"/>
    <mergeCell ref="A32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2026-08-10T09:29:13Z</dcterms:created>
  <dc:creator>openpyxl</dc:creator>
  <dc:description/>
  <dc:language>en-US</dc:language>
  <cp:lastModifiedBy>armando manzanos luna</cp:lastModifiedBy>
  <dcterms:modified xsi:type="dcterms:W3CDTF">2026-08-14T08:44:19Z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
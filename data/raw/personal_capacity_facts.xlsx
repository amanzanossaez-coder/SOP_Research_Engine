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as" sheetId="1" state="visible" r:id="rId3"/>
    <sheet name="AMS" sheetId="2" state="visible" r:id="rId4"/>
    <sheet name="AML" sheetId="3" state="visible" r:id="rId5"/>
    <sheet name="Cajas" sheetId="4" state="visible" r:id="rId6"/>
    <sheet name="Proyec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<sst xmlns="http://schemas.openxmlformats.org/spreadsheetml/2006/main" count="417" uniqueCount="212">
  <si>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</si>
  <si>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</si>
  <si>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</si>
  <si>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</si>
  <si>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</si>
  <si>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</si>
  <si>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</si>
  <si>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</si>
  <si>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</si>
  <si>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</si>
  <si>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</si>
  <si>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</si>
  <si>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</si>
  <si>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</si>
  <si>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</si>
  <si>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</si>
  <si>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</si>
  <si>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</si>
  <si>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</si>
  <si>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</si>
  <si>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</si>
  <si>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</si>
  <si>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</si>
  <si>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</si>
  <si>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</si>
  <si>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</si>
  <si>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</si>
  <si>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</si>
  <si>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</si>
  <si>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</si>
  <si>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</si>
  <si>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</si>
  <si>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</si>
  <si>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</si>
  <si>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</si>
  <si>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</si>
  <si>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</si>
  <si>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</si>
  <si>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</si>
  <si>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</si>
  <si>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</si>
  <si>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</si>
  <si>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</si>
  <si>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</si>
  <si>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</si>
  <si>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</si>
  <si>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</si>
  <si>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</si>
  <si>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</si>
  <si>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</si>
  <si>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</si>
  <si>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</si>
  <si>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</si>
  <si>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</si>
  <si>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</si>
  <si>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</si>
  <si>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</si>
  <si>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</si>
  <si>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</si>
  <si>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</si>
  <si>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</si>
  <si>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</si>
  <si>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</si>
  <si>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</si>
  <si>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</si>
  <si>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</si>
  <si>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</si>
  <si>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</si>
  <si>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</si>
  <si>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</si>
  <si>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</si>
  <si>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</si>
  <si>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</si>
  <si>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</si>
  <si>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</si>
  <si>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</si>
  <si>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</si>
  <si>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</si>
  <si>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</si>
  <si>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</si>
  <si>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</si>
  <si>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</si>
  <si>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</si>
  <si>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</si>
  <si>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</si>
  <si>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</si>
  <si>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</si>
  <si>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</si>
  <si>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</si>
  <si>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</si>
  <si>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</si>
  <si>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</si>
  <si>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</si>
  <si>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</si>
  <si>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</si>
  <si>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</si>
  <si>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</si>
  <si>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</si>
  <si>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</si>
  <si>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</si>
  <si>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</si>
  <si>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</si>
  <si>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</si>
  <si>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</si>
  <si>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</si>
  <si>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</si>
  <si>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</si>
  <si>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</si>
  <si>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</si>
  <si>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</si>
  <si>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</si>
  <si>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</si>
  <si>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</si>
  <si>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</si>
  <si>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</si>
  <si>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</si>
  <si>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</si>
  <si>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</si>
  <si>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</si>
  <si>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</si>
  <si>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</si>
  <si>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</si>
  <si>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</si>
  <si>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</si>
  <si>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</si>
  <si>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</si>
  <si>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</si>
  <si>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</si>
  <si>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</si>
  <si>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</si>
  <si>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</si>
  <si>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</si>
  <si>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</si>
  <si>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</si>
  <si>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</si>
  <si>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</si>
  <si>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</si>
  <si>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</si>
  <si>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</si>
  <si>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</si>
  <si>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</si>
  <si>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</si>
  <si>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</si>
  <si>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</si>
  <si>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</si>
  <si>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</si>
  <si>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</si>
  <si>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</si>
  <si>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</si>
  <si>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</si>
  <si>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</si>
  <si>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</si>
  <si>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</si>
  <si>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</si>
  <si>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</si>
  <si>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</si>
  <si>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</si>
  <si>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</si>
  <si>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</si>
  <si>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</si>
  <si>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CLASIFICACIÓN EN LAS TRES CAJAS</t>
  </si>
  <si>
    <t xml:space="preserve">Nivel 3, CONSTITUTION.md Sección 2 — Seguridad / Motor / Rentas Pasivas</t>
  </si>
  <si>
    <t xml:space="preserve">AMS — patrimonio propio</t>
  </si>
  <si>
    <t xml:space="preserve">Caja</t>
  </si>
  <si>
    <t xml:space="preserve">Partida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</si>
  <si>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</si>
  <si>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</si>
  <si>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</si>
  <si>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</si>
  <si>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</si>
  <si>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</si>
  <si>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</si>
  <si>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</si>
  <si>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</si>
  <si>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</si>
  <si>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</si>
  <si>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</si>
  <si>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</si>
  <si>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AMS (control)</t>
  </si>
  <si>
    <t xml:space="preserve">Debe ser 0€. Si no lo es, hay una partida nueva en AMS sección 4 sin clasificar aquí.</t>
  </si>
  <si>
    <t xml:space="preserve">AML — patrimonio de tus padres</t>
  </si>
  <si>
    <t xml:space="preserve">AML!B43</t>
  </si>
  <si>
    <t xml:space="preserve">AML!B39</t>
  </si>
  <si>
    <t xml:space="preserve">Bloqueado operativamente (ilíquido salvo jubilación/paro larga duración/enfermedad grave; destino: herencia). Clasificado en Motor por composición de activo (mayoritariamente RV), confirmado por Armando 2026-08-13.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</si>
  <si>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</si>
  <si>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</si>
  <si>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</si>
  <si>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Diferencia vs. Total patrimonio AML (control)</t>
  </si>
  <si>
    <t xml:space="preserve">Debe ser 0€. Si no lo es, hay una partida nueva en AML sección 4 sin clasificar aquí.</t>
  </si>
  <si>
    <t xml:space="preserve">Clasificación fijada por Armando el 2026-08-13, sobre la tabla de cajas de CONSTITUTION.md Sección 2, Nivel 3 (Seguridad: liquidez/depósitos/monetarios · Motor: fondo indexado S&amp;P 500 y otras inversiones a largo plazo · Rentas Pasivas: JGPI, inmobiliario, oro).</t>
  </si>
  <si>
    <t xml:space="preserve">PROYECCIÓN CAJA MOTOR — HIPÓTESIS BASE v1</t>
  </si>
  <si>
    <t xml:space="preserve">Ilustrativa, no un objetivo. X/Y/Z por necesidad patrimonial: CONSTITUTION.md Sección 6, Pendiente.</t>
  </si>
  <si>
    <t xml:space="preserve">Hipótesis de rentabilidad (CONSTITUTION.md Sección 2)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</si>
  <si>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</si>
  <si>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</si>
  <si>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</si>
  <si>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</si>
  <si>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Base — Caja Motor (hoja 'Cajas')</t>
  </si>
  <si>
    <t xml:space="preserve">AMS — Caja Motor</t>
  </si>
  <si>
    <t xml:space="preserve">Cajas!C10 (subtotal Motor)</t>
  </si>
  <si>
    <t xml:space="preserve">AML — Caja Motor</t>
  </si>
  <si>
    <t xml:space="preserve">Cajas!C25 (subtotal Motor, incluye Planes de Pensiones bloqueados)</t>
  </si>
  <si>
    <t xml:space="preserve">Proyección AMS — Caja Motor</t>
  </si>
  <si>
    <t xml:space="preserve">Horizonte</t>
  </si>
  <si>
    <t xml:space="preserve">Real</t>
  </si>
  <si>
    <t xml:space="preserve">Nominal</t>
  </si>
  <si>
    <t xml:space="preserve">5 años</t>
  </si>
  <si>
    <t xml:space="preserve">10 años</t>
  </si>
  <si>
    <t xml:space="preserve">15 años</t>
  </si>
  <si>
    <t xml:space="preserve">Proyección AML — Caja Motor</t>
  </si>
  <si>
    <t xml:space="preserve">Proyección de puro interés compuesto sobre el saldo actual de Caja Motor. No es el objetivo X/Y/Z (todavía sin definir) — sirve para comparar, una vez fijado ese objetivo, si la trayectoria real va camino de cumplirlo.</t>
  </si>
  <si>
    <t xml:space="preserve">AML incluye Planes de Pensiones, operativamente bloqueados (ver hoja 'Cajas', nota en D24).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</si>
</sst>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7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5" t="s">
        <v>4</v>
      </c>
      <c r="B6" s="4" t="s">
        <v>5</v>
      </c>
    </row>
    <row r="7" customFormat="false" ht="15" hidden="false" customHeight="true" outlineLevel="0" collapsed="false">
      <c r="A7" s="4" t="s">
        <v>6</v>
      </c>
      <c r="B7" s="4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4" t="s">
        <v>9</v>
      </c>
      <c r="B10" s="4" t="s">
        <v>10</v>
      </c>
    </row>
    <row r="11" customFormat="false" ht="15" hidden="false" customHeight="true" outlineLevel="0" collapsed="false">
      <c r="A11" s="4" t="s">
        <v>9</v>
      </c>
      <c r="B11" s="4" t="s">
        <v>11</v>
      </c>
    </row>
    <row r="12" customFormat="false" ht="15" hidden="false" customHeight="true" outlineLevel="0" collapsed="false">
      <c r="A12" s="4" t="s">
        <v>9</v>
      </c>
      <c r="B12" s="4" t="s">
        <v>12</v>
      </c>
    </row>
    <row r="14" customFormat="false" ht="15" hidden="false" customHeight="true" outlineLevel="0" collapsed="false">
      <c r="A14" s="3" t="s">
        <v>13</v>
      </c>
      <c r="B14" s="4" t="s">
        <v>14</v>
      </c>
    </row>
    <row r="16" customFormat="false" ht="15" hidden="false" customHeight="true" outlineLevel="0" collapsed="false">
      <c r="A16" s="3" t="s">
        <v>15</v>
      </c>
      <c r="B16" s="4" t="s">
        <v>16</v>
      </c>
    </row>
    <row r="18" customFormat="false" ht="15" hidden="false" customHeight="true" outlineLevel="0" collapsed="false">
      <c r="A18" s="3" t="s">
        <v>17</v>
      </c>
    </row>
    <row r="19" customFormat="false" ht="30" hidden="false" customHeight="true" outlineLevel="0" collapsed="false">
      <c r="A19" s="4" t="s">
        <v>9</v>
      </c>
      <c r="B19" s="4" t="s">
        <v>18</v>
      </c>
    </row>
    <row r="20" customFormat="false" ht="30" hidden="false" customHeight="true" outlineLevel="0" collapsed="false">
      <c r="A20" s="4" t="s">
        <v>9</v>
      </c>
      <c r="B20" s="4" t="s">
        <v>19</v>
      </c>
    </row>
    <row r="21" customFormat="false" ht="30" hidden="false" customHeight="true" outlineLevel="0" collapsed="false">
      <c r="A21" s="4" t="s">
        <v>9</v>
      </c>
      <c r="B21" s="4" t="s">
        <v>20</v>
      </c>
    </row>
    <row r="22" customFormat="false" ht="30" hidden="false" customHeight="true" outlineLevel="0" collapsed="false">
      <c r="A22" s="4" t="s">
        <v>9</v>
      </c>
      <c r="B22" s="4" t="s">
        <v>21</v>
      </c>
    </row>
    <row r="23" customFormat="false" ht="30" hidden="false" customHeight="true" outlineLevel="0" collapsed="false">
      <c r="A23" s="4" t="s">
        <v>9</v>
      </c>
      <c r="B23" s="4" t="s">
        <v>22</v>
      </c>
    </row>
    <row r="24" customFormat="false" ht="30" hidden="false" customHeight="true" outlineLevel="0" collapsed="false">
      <c r="A24" s="4" t="s">
        <v>9</v>
      </c>
      <c r="B2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20000</v>
      </c>
      <c r="C5" s="10" t="s">
        <v>31</v>
      </c>
      <c r="D5" s="10" t="s">
        <v>32</v>
      </c>
    </row>
    <row r="6" customFormat="false" ht="15" hidden="false" customHeight="true" outlineLevel="0" collapsed="false">
      <c r="A6" s="4" t="s">
        <v>33</v>
      </c>
      <c r="B6" s="9" t="n">
        <v>13000</v>
      </c>
      <c r="C6" s="10" t="s">
        <v>31</v>
      </c>
      <c r="D6" s="10" t="s">
        <v>34</v>
      </c>
    </row>
    <row r="7" customFormat="false" ht="15" hidden="false" customHeight="true" outlineLevel="0" collapsed="false">
      <c r="A7" s="4" t="s">
        <v>35</v>
      </c>
      <c r="B7" s="11" t="n">
        <f aca="false">B6-B5</f>
        <v>-7000</v>
      </c>
      <c r="C7" s="10" t="s">
        <v>36</v>
      </c>
      <c r="D7" s="10" t="s">
        <v>37</v>
      </c>
    </row>
    <row r="8" customFormat="false" ht="15" hidden="false" customHeight="true" outlineLevel="0" collapsed="false">
      <c r="A8" s="4" t="s">
        <v>38</v>
      </c>
      <c r="B8" s="5" t="s">
        <v>39</v>
      </c>
      <c r="C8" s="10" t="s">
        <v>31</v>
      </c>
      <c r="D8" s="10" t="s">
        <v>40</v>
      </c>
    </row>
    <row r="9" customFormat="false" ht="15" hidden="false" customHeight="true" outlineLevel="0" collapsed="false">
      <c r="A9" s="4" t="s">
        <v>41</v>
      </c>
      <c r="B9" s="9" t="n">
        <v>30000</v>
      </c>
      <c r="C9" s="10" t="s">
        <v>31</v>
      </c>
      <c r="D9" s="10" t="s">
        <v>42</v>
      </c>
    </row>
    <row r="10" customFormat="false" ht="15" hidden="false" customHeight="true" outlineLevel="0" collapsed="false">
      <c r="A10" s="4" t="s">
        <v>43</v>
      </c>
      <c r="B10" s="9" t="n">
        <v>70000</v>
      </c>
      <c r="C10" s="10" t="s">
        <v>31</v>
      </c>
      <c r="D10" s="10" t="s">
        <v>44</v>
      </c>
    </row>
    <row r="11" customFormat="false" ht="15" hidden="false" customHeight="true" outlineLevel="0" collapsed="false">
      <c r="A11" s="4" t="s">
        <v>45</v>
      </c>
      <c r="B11" s="9" t="n">
        <v>120000</v>
      </c>
      <c r="C11" s="10" t="s">
        <v>31</v>
      </c>
      <c r="D11" s="10" t="s">
        <v>46</v>
      </c>
    </row>
    <row r="12" customFormat="false" ht="15" hidden="false" customHeight="true" outlineLevel="0" collapsed="false">
      <c r="A12" s="4" t="s">
        <v>47</v>
      </c>
      <c r="B12" s="11" t="n">
        <f aca="false">B9+B10</f>
        <v>100000</v>
      </c>
      <c r="C12" s="10" t="s">
        <v>36</v>
      </c>
      <c r="D12" s="12"/>
    </row>
    <row r="13" customFormat="false" ht="15" hidden="false" customHeight="true" outlineLevel="0" collapsed="false">
      <c r="A13" s="4" t="s">
        <v>48</v>
      </c>
      <c r="B13" s="11" t="n">
        <f aca="false">B9+B11</f>
        <v>150000</v>
      </c>
      <c r="C13" s="10" t="s">
        <v>36</v>
      </c>
      <c r="D13" s="12"/>
    </row>
    <row r="14" customFormat="false" ht="15" hidden="false" customHeight="true" outlineLevel="0" collapsed="false">
      <c r="A14" s="4" t="s">
        <v>49</v>
      </c>
      <c r="B14" s="9" t="n">
        <v>83100</v>
      </c>
      <c r="C14" s="10" t="s">
        <v>50</v>
      </c>
      <c r="D14" s="10" t="s">
        <v>51</v>
      </c>
    </row>
    <row r="15" customFormat="false" ht="15" hidden="false" customHeight="true" outlineLevel="0" collapsed="false">
      <c r="A15" s="4" t="s">
        <v>52</v>
      </c>
      <c r="B15" s="9" t="n">
        <v>89230.77</v>
      </c>
      <c r="C15" s="10" t="s">
        <v>50</v>
      </c>
      <c r="D15" s="10" t="s">
        <v>53</v>
      </c>
    </row>
    <row r="16" customFormat="false" ht="15" hidden="false" customHeight="true" outlineLevel="0" collapsed="false">
      <c r="A16" s="4" t="s">
        <v>54</v>
      </c>
      <c r="B16" s="11" t="n">
        <f aca="false">SUM(B14:B15)</f>
        <v>172330.77</v>
      </c>
      <c r="C16" s="10" t="s">
        <v>36</v>
      </c>
      <c r="D16" s="12"/>
    </row>
    <row r="17" customFormat="false" ht="15" hidden="false" customHeight="true" outlineLevel="0" collapsed="false">
      <c r="A17" s="4" t="s">
        <v>55</v>
      </c>
      <c r="B17" s="11" t="n">
        <f aca="false">B16-B9</f>
        <v>142330.77</v>
      </c>
      <c r="C17" s="10" t="s">
        <v>36</v>
      </c>
      <c r="D17" s="12"/>
    </row>
    <row r="18" customFormat="false" ht="15" hidden="false" customHeight="true" outlineLevel="0" collapsed="false">
      <c r="A18" s="4" t="s">
        <v>56</v>
      </c>
      <c r="B18" s="11" t="n">
        <f aca="false">B16-B12</f>
        <v>72330.77</v>
      </c>
      <c r="C18" s="10" t="s">
        <v>36</v>
      </c>
      <c r="D18" s="12"/>
    </row>
    <row r="19" customFormat="false" ht="15" hidden="false" customHeight="true" outlineLevel="0" collapsed="false">
      <c r="A19" s="4" t="s">
        <v>57</v>
      </c>
      <c r="B19" s="11" t="n">
        <f aca="false">B16-B13</f>
        <v>22330.77</v>
      </c>
      <c r="C19" s="10" t="s">
        <v>36</v>
      </c>
      <c r="D19" s="10" t="s">
        <v>58</v>
      </c>
    </row>
    <row r="20" customFormat="false" ht="15" hidden="false" customHeight="true" outlineLevel="0" collapsed="false">
      <c r="A20" s="4" t="s">
        <v>59</v>
      </c>
      <c r="B20" s="11" t="n">
        <f aca="false">B17-B10</f>
        <v>72330.77</v>
      </c>
      <c r="C20" s="10" t="s">
        <v>36</v>
      </c>
      <c r="D20" s="12"/>
    </row>
    <row r="21" customFormat="false" ht="15" hidden="false" customHeight="true" outlineLevel="0" collapsed="false">
      <c r="A21" s="4" t="s">
        <v>60</v>
      </c>
      <c r="B21" s="11" t="n">
        <f aca="false">B17-B11</f>
        <v>22330.77</v>
      </c>
      <c r="C21" s="10" t="s">
        <v>36</v>
      </c>
      <c r="D21" s="12"/>
    </row>
    <row r="23" customFormat="false" ht="15" hidden="false" customHeight="true" outlineLevel="0" collapsed="false">
      <c r="A23" s="6" t="s">
        <v>61</v>
      </c>
      <c r="B23" s="7"/>
      <c r="C23" s="7"/>
      <c r="D23" s="7"/>
    </row>
    <row r="24" customFormat="false" ht="15" hidden="false" customHeight="true" outlineLevel="0" collapsed="false">
      <c r="A24" s="8" t="s">
        <v>26</v>
      </c>
      <c r="B24" s="8" t="s">
        <v>27</v>
      </c>
      <c r="C24" s="8" t="s">
        <v>28</v>
      </c>
      <c r="D24" s="8" t="s">
        <v>29</v>
      </c>
    </row>
    <row r="25" customFormat="false" ht="15" hidden="false" customHeight="true" outlineLevel="0" collapsed="false">
      <c r="A25" s="4" t="s">
        <v>62</v>
      </c>
      <c r="B25" s="5" t="s">
        <v>63</v>
      </c>
      <c r="C25" s="10" t="s">
        <v>64</v>
      </c>
      <c r="D25" s="10" t="s">
        <v>65</v>
      </c>
    </row>
    <row r="27" customFormat="false" ht="15" hidden="false" customHeight="true" outlineLevel="0" collapsed="false">
      <c r="A27" s="6" t="s">
        <v>66</v>
      </c>
      <c r="B27" s="7"/>
      <c r="C27" s="7"/>
      <c r="D27" s="7"/>
    </row>
    <row r="28" customFormat="false" ht="15" hidden="false" customHeight="true" outlineLevel="0" collapsed="false">
      <c r="A28" s="8" t="s">
        <v>26</v>
      </c>
      <c r="B28" s="8" t="s">
        <v>27</v>
      </c>
      <c r="C28" s="8" t="s">
        <v>28</v>
      </c>
      <c r="D28" s="8" t="s">
        <v>29</v>
      </c>
    </row>
    <row r="29" customFormat="false" ht="15" hidden="false" customHeight="true" outlineLevel="0" collapsed="false">
      <c r="A29" s="4" t="s">
        <v>67</v>
      </c>
      <c r="B29" s="9" t="n">
        <v>6000</v>
      </c>
      <c r="C29" s="10" t="s">
        <v>31</v>
      </c>
      <c r="D29" s="12"/>
    </row>
    <row r="30" customFormat="false" ht="15" hidden="false" customHeight="true" outlineLevel="0" collapsed="false">
      <c r="A30" s="4" t="s">
        <v>68</v>
      </c>
      <c r="B30" s="9" t="n">
        <v>5000</v>
      </c>
      <c r="C30" s="10" t="s">
        <v>31</v>
      </c>
      <c r="D30" s="12"/>
    </row>
    <row r="31" customFormat="false" ht="15" hidden="false" customHeight="true" outlineLevel="0" collapsed="false">
      <c r="A31" s="4" t="s">
        <v>69</v>
      </c>
      <c r="B31" s="9" t="n">
        <v>2000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SUM(B29:B31)</f>
        <v>13000</v>
      </c>
      <c r="C32" s="10" t="s">
        <v>36</v>
      </c>
      <c r="D32" s="12"/>
    </row>
    <row r="33" customFormat="false" ht="15" hidden="false" customHeight="true" outlineLevel="0" collapsed="false">
      <c r="A33" s="4" t="s">
        <v>71</v>
      </c>
      <c r="B33" s="13" t="n">
        <f aca="false">B29/B32</f>
        <v>0.461538461538462</v>
      </c>
      <c r="C33" s="10" t="s">
        <v>36</v>
      </c>
      <c r="D33" s="12"/>
    </row>
    <row r="34" customFormat="false" ht="15" hidden="false" customHeight="true" outlineLevel="0" collapsed="false">
      <c r="A34" s="4" t="s">
        <v>72</v>
      </c>
      <c r="B34" s="13" t="n">
        <f aca="false">B30/B32</f>
        <v>0.384615384615385</v>
      </c>
      <c r="C34" s="10" t="s">
        <v>36</v>
      </c>
      <c r="D34" s="12"/>
    </row>
    <row r="35" customFormat="false" ht="15" hidden="false" customHeight="true" outlineLevel="0" collapsed="false">
      <c r="A35" s="4" t="s">
        <v>73</v>
      </c>
      <c r="B35" s="13" t="n">
        <f aca="false">B31/B32</f>
        <v>0.153846153846154</v>
      </c>
      <c r="C35" s="10" t="s">
        <v>36</v>
      </c>
      <c r="D35" s="12"/>
    </row>
    <row r="36" customFormat="false" ht="15" hidden="false" customHeight="true" outlineLevel="0" collapsed="false">
      <c r="A36" s="4" t="s">
        <v>74</v>
      </c>
      <c r="B36" s="5" t="s">
        <v>75</v>
      </c>
      <c r="C36" s="10" t="s">
        <v>31</v>
      </c>
      <c r="D36" s="10" t="s">
        <v>76</v>
      </c>
    </row>
    <row r="38" customFormat="false" ht="15" hidden="false" customHeight="true" outlineLevel="0" collapsed="false">
      <c r="A38" s="6" t="s">
        <v>77</v>
      </c>
      <c r="B38" s="7"/>
      <c r="C38" s="7"/>
      <c r="D38" s="7"/>
    </row>
    <row r="39" customFormat="false" ht="15" hidden="false" customHeight="true" outlineLevel="0" collapsed="false">
      <c r="A39" s="8" t="s">
        <v>26</v>
      </c>
      <c r="B39" s="8" t="s">
        <v>27</v>
      </c>
      <c r="C39" s="8" t="s">
        <v>28</v>
      </c>
      <c r="D39" s="8" t="s">
        <v>29</v>
      </c>
    </row>
    <row r="40" customFormat="false" ht="15" hidden="false" customHeight="true" outlineLevel="0" collapsed="false">
      <c r="A40" s="4" t="s">
        <v>78</v>
      </c>
      <c r="B40" s="9" t="n">
        <v>872837.88</v>
      </c>
      <c r="C40" s="10" t="s">
        <v>50</v>
      </c>
      <c r="D40" s="12"/>
    </row>
    <row r="41" customFormat="false" ht="15" hidden="false" customHeight="true" outlineLevel="0" collapsed="false">
      <c r="A41" s="4" t="s">
        <v>79</v>
      </c>
      <c r="B41" s="9" t="n">
        <v>89230.77</v>
      </c>
      <c r="C41" s="10" t="s">
        <v>50</v>
      </c>
      <c r="D41" s="12"/>
    </row>
    <row r="42" customFormat="false" ht="15" hidden="false" customHeight="true" outlineLevel="0" collapsed="false">
      <c r="A42" s="4" t="s">
        <v>80</v>
      </c>
      <c r="B42" s="9" t="n">
        <v>111570.37</v>
      </c>
      <c r="C42" s="10" t="s">
        <v>50</v>
      </c>
      <c r="D42" s="12"/>
    </row>
    <row r="43" customFormat="false" ht="15" hidden="false" customHeight="true" outlineLevel="0" collapsed="false">
      <c r="A43" s="4" t="s">
        <v>81</v>
      </c>
      <c r="B43" s="9" t="n">
        <v>100000</v>
      </c>
      <c r="C43" s="10" t="s">
        <v>50</v>
      </c>
      <c r="D43" s="12"/>
    </row>
    <row r="44" customFormat="false" ht="15" hidden="false" customHeight="true" outlineLevel="0" collapsed="false">
      <c r="A44" s="4" t="s">
        <v>82</v>
      </c>
      <c r="B44" s="9" t="n">
        <v>83100</v>
      </c>
      <c r="C44" s="10" t="s">
        <v>50</v>
      </c>
      <c r="D44" s="10" t="s">
        <v>83</v>
      </c>
    </row>
    <row r="45" customFormat="false" ht="15" hidden="false" customHeight="true" outlineLevel="0" collapsed="false">
      <c r="A45" s="14" t="s">
        <v>84</v>
      </c>
      <c r="B45" s="15" t="n">
        <f aca="false">SUM(B40:B44)</f>
        <v>1256739.02</v>
      </c>
      <c r="C45" s="16" t="s">
        <v>36</v>
      </c>
      <c r="D45" s="17"/>
    </row>
    <row r="46" customFormat="false" ht="15" hidden="false" customHeight="true" outlineLevel="0" collapsed="false">
      <c r="A46" s="4" t="s">
        <v>85</v>
      </c>
      <c r="B46" s="13" t="n">
        <f aca="false">B40/B45</f>
        <v>0.694525964507731</v>
      </c>
      <c r="C46" s="10" t="s">
        <v>36</v>
      </c>
      <c r="D46" s="12"/>
    </row>
    <row r="47" customFormat="false" ht="15" hidden="false" customHeight="true" outlineLevel="0" collapsed="false">
      <c r="A47" s="4" t="s">
        <v>86</v>
      </c>
      <c r="B47" s="13" t="n">
        <f aca="false">B41/B45</f>
        <v>0.0710018297991575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B42/B45</f>
        <v>0.0887776763707074</v>
      </c>
      <c r="C48" s="10" t="s">
        <v>36</v>
      </c>
      <c r="D48" s="12"/>
    </row>
    <row r="49" customFormat="false" ht="15" hidden="false" customHeight="true" outlineLevel="0" collapsed="false">
      <c r="A49" s="4" t="s">
        <v>88</v>
      </c>
      <c r="B49" s="13" t="n">
        <f aca="false">B43/B45</f>
        <v>0.0795710154682712</v>
      </c>
      <c r="C49" s="10" t="s">
        <v>36</v>
      </c>
      <c r="D49" s="12"/>
    </row>
    <row r="50" customFormat="false" ht="15" hidden="false" customHeight="true" outlineLevel="0" collapsed="false">
      <c r="A50" s="4" t="s">
        <v>89</v>
      </c>
      <c r="B50" s="13" t="n">
        <f aca="false">B44/B45</f>
        <v>0.0661235138541334</v>
      </c>
      <c r="C50" s="10" t="s">
        <v>36</v>
      </c>
      <c r="D50" s="12"/>
    </row>
    <row r="51" customFormat="false" ht="15" hidden="false" customHeight="true" outlineLevel="0" collapsed="false">
      <c r="A51" s="4" t="s">
        <v>90</v>
      </c>
      <c r="B51" s="5" t="s">
        <v>75</v>
      </c>
      <c r="C51" s="10" t="s">
        <v>31</v>
      </c>
      <c r="D51" s="10" t="s">
        <v>91</v>
      </c>
    </row>
    <row r="53" customFormat="false" ht="15" hidden="false" customHeight="true" outlineLevel="0" collapsed="false">
      <c r="A53" s="6" t="s">
        <v>92</v>
      </c>
      <c r="B53" s="7"/>
      <c r="C53" s="7"/>
      <c r="D53" s="7"/>
    </row>
    <row r="54" customFormat="false" ht="15" hidden="false" customHeight="true" outlineLevel="0" collapsed="false">
      <c r="A54" s="8" t="s">
        <v>26</v>
      </c>
      <c r="B54" s="8" t="s">
        <v>27</v>
      </c>
      <c r="C54" s="8" t="s">
        <v>28</v>
      </c>
      <c r="D54" s="8" t="s">
        <v>29</v>
      </c>
    </row>
    <row r="55" customFormat="false" ht="15" hidden="false" customHeight="true" outlineLevel="0" collapsed="false">
      <c r="A55" s="4" t="s">
        <v>93</v>
      </c>
      <c r="B55" s="5" t="s">
        <v>94</v>
      </c>
      <c r="C55" s="10" t="s">
        <v>31</v>
      </c>
      <c r="D55" s="10" t="s">
        <v>95</v>
      </c>
    </row>
    <row r="56" customFormat="false" ht="15" hidden="false" customHeight="true" outlineLevel="0" collapsed="false">
      <c r="A56" s="4" t="s">
        <v>96</v>
      </c>
      <c r="B56" s="5" t="s">
        <v>97</v>
      </c>
      <c r="C56" s="10" t="s">
        <v>31</v>
      </c>
      <c r="D56" s="10" t="s">
        <v>98</v>
      </c>
    </row>
    <row r="58" customFormat="false" ht="15" hidden="false" customHeight="true" outlineLevel="0" collapsed="false">
      <c r="A58" s="6" t="s">
        <v>99</v>
      </c>
      <c r="B58" s="7"/>
      <c r="C58" s="7"/>
      <c r="D58" s="7"/>
    </row>
    <row r="59" customFormat="false" ht="15" hidden="false" customHeight="true" outlineLevel="0" collapsed="false">
      <c r="A59" s="8" t="s">
        <v>26</v>
      </c>
      <c r="B59" s="8" t="s">
        <v>27</v>
      </c>
      <c r="C59" s="8" t="s">
        <v>28</v>
      </c>
      <c r="D59" s="8" t="s">
        <v>29</v>
      </c>
    </row>
    <row r="60" customFormat="false" ht="15" hidden="false" customHeight="true" outlineLevel="0" collapsed="false">
      <c r="A60" s="4" t="s">
        <v>100</v>
      </c>
      <c r="B60" s="9" t="n">
        <v>-215092</v>
      </c>
      <c r="C60" s="10" t="s">
        <v>50</v>
      </c>
      <c r="D60" s="10" t="s">
        <v>101</v>
      </c>
    </row>
    <row r="61" customFormat="false" ht="15" hidden="false" customHeight="true" outlineLevel="0" collapsed="false">
      <c r="A61" s="4" t="s">
        <v>102</v>
      </c>
      <c r="B61" s="5" t="s">
        <v>103</v>
      </c>
      <c r="C61" s="10" t="s">
        <v>31</v>
      </c>
      <c r="D61" s="1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5.75" hidden="false" customHeight="true" outlineLevel="0" collapsed="false">
      <c r="A1" s="2" t="s">
        <v>105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32500</v>
      </c>
      <c r="C5" s="10" t="s">
        <v>31</v>
      </c>
      <c r="D5" s="10" t="s">
        <v>106</v>
      </c>
    </row>
    <row r="6" customFormat="false" ht="15" hidden="false" customHeight="true" outlineLevel="0" collapsed="false">
      <c r="A6" s="4" t="s">
        <v>33</v>
      </c>
      <c r="B6" s="9" t="n">
        <v>80000</v>
      </c>
      <c r="C6" s="10" t="s">
        <v>31</v>
      </c>
      <c r="D6" s="10" t="s">
        <v>107</v>
      </c>
    </row>
    <row r="7" customFormat="false" ht="15" hidden="false" customHeight="true" outlineLevel="0" collapsed="false">
      <c r="A7" s="4" t="s">
        <v>108</v>
      </c>
      <c r="B7" s="11" t="n">
        <f aca="false">B6-B5</f>
        <v>47500</v>
      </c>
      <c r="C7" s="10" t="s">
        <v>36</v>
      </c>
      <c r="D7" s="10" t="s">
        <v>109</v>
      </c>
    </row>
    <row r="8" customFormat="false" ht="15" hidden="false" customHeight="true" outlineLevel="0" collapsed="false">
      <c r="A8" s="4" t="s">
        <v>41</v>
      </c>
      <c r="B8" s="9" t="n">
        <v>125000</v>
      </c>
      <c r="C8" s="10" t="s">
        <v>31</v>
      </c>
      <c r="D8" s="10" t="s">
        <v>110</v>
      </c>
    </row>
    <row r="9" customFormat="false" ht="15" hidden="false" customHeight="true" outlineLevel="0" collapsed="false">
      <c r="A9" s="4" t="s">
        <v>43</v>
      </c>
      <c r="B9" s="9" t="n">
        <v>125000</v>
      </c>
      <c r="C9" s="10" t="s">
        <v>31</v>
      </c>
      <c r="D9" s="12"/>
    </row>
    <row r="10" customFormat="false" ht="15" hidden="false" customHeight="true" outlineLevel="0" collapsed="false">
      <c r="A10" s="4" t="s">
        <v>45</v>
      </c>
      <c r="B10" s="9" t="n">
        <v>175000</v>
      </c>
      <c r="C10" s="10" t="s">
        <v>31</v>
      </c>
      <c r="D10" s="12"/>
    </row>
    <row r="11" customFormat="false" ht="15" hidden="false" customHeight="true" outlineLevel="0" collapsed="false">
      <c r="A11" s="4" t="s">
        <v>47</v>
      </c>
      <c r="B11" s="11" t="n">
        <f aca="false">B8+B9</f>
        <v>250000</v>
      </c>
      <c r="C11" s="10" t="s">
        <v>36</v>
      </c>
      <c r="D11" s="12"/>
    </row>
    <row r="12" customFormat="false" ht="15" hidden="false" customHeight="true" outlineLevel="0" collapsed="false">
      <c r="A12" s="4" t="s">
        <v>48</v>
      </c>
      <c r="B12" s="11" t="n">
        <f aca="false">B8+B10</f>
        <v>300000</v>
      </c>
      <c r="C12" s="10" t="s">
        <v>36</v>
      </c>
      <c r="D12" s="10" t="s">
        <v>111</v>
      </c>
    </row>
    <row r="13" customFormat="false" ht="15" hidden="false" customHeight="true" outlineLevel="0" collapsed="false">
      <c r="A13" s="4" t="s">
        <v>49</v>
      </c>
      <c r="B13" s="9" t="n">
        <v>54375</v>
      </c>
      <c r="C13" s="10" t="s">
        <v>112</v>
      </c>
      <c r="D13" s="12"/>
    </row>
    <row r="14" customFormat="false" ht="15" hidden="false" customHeight="true" outlineLevel="0" collapsed="false">
      <c r="A14" s="4" t="s">
        <v>113</v>
      </c>
      <c r="B14" s="9" t="n">
        <v>60000</v>
      </c>
      <c r="C14" s="10" t="s">
        <v>112</v>
      </c>
      <c r="D14" s="10" t="s">
        <v>114</v>
      </c>
    </row>
    <row r="15" customFormat="false" ht="15" hidden="false" customHeight="true" outlineLevel="0" collapsed="false">
      <c r="A15" s="4" t="s">
        <v>115</v>
      </c>
      <c r="B15" s="9" t="n">
        <v>85000</v>
      </c>
      <c r="C15" s="10" t="s">
        <v>112</v>
      </c>
      <c r="D15" s="10" t="s">
        <v>116</v>
      </c>
    </row>
    <row r="16" customFormat="false" ht="15" hidden="false" customHeight="true" outlineLevel="0" collapsed="false">
      <c r="A16" s="4" t="s">
        <v>52</v>
      </c>
      <c r="B16" s="9" t="n">
        <v>0</v>
      </c>
      <c r="C16" s="10" t="s">
        <v>31</v>
      </c>
      <c r="D16" s="10" t="s">
        <v>117</v>
      </c>
    </row>
    <row r="17" customFormat="false" ht="15" hidden="false" customHeight="true" outlineLevel="0" collapsed="false">
      <c r="A17" s="4" t="s">
        <v>54</v>
      </c>
      <c r="B17" s="11" t="n">
        <f aca="false">SUM(B13:B16)</f>
        <v>199375</v>
      </c>
      <c r="C17" s="10" t="s">
        <v>36</v>
      </c>
      <c r="D17" s="12"/>
    </row>
    <row r="18" customFormat="false" ht="15" hidden="false" customHeight="true" outlineLevel="0" collapsed="false">
      <c r="A18" s="4" t="s">
        <v>55</v>
      </c>
      <c r="B18" s="11" t="n">
        <f aca="false">B17-B8</f>
        <v>74375</v>
      </c>
      <c r="C18" s="10" t="s">
        <v>36</v>
      </c>
      <c r="D18" s="12"/>
    </row>
    <row r="19" customFormat="false" ht="15" hidden="false" customHeight="true" outlineLevel="0" collapsed="false">
      <c r="A19" s="4" t="s">
        <v>56</v>
      </c>
      <c r="B19" s="11" t="n">
        <f aca="false">B17-B11</f>
        <v>-50625</v>
      </c>
      <c r="C19" s="10" t="s">
        <v>36</v>
      </c>
      <c r="D19" s="12"/>
    </row>
    <row r="20" customFormat="false" ht="15" hidden="false" customHeight="true" outlineLevel="0" collapsed="false">
      <c r="A20" s="4" t="s">
        <v>57</v>
      </c>
      <c r="B20" s="11" t="n">
        <f aca="false">B17-B12</f>
        <v>-100625</v>
      </c>
      <c r="C20" s="10" t="s">
        <v>36</v>
      </c>
      <c r="D20" s="12"/>
    </row>
    <row r="21" customFormat="false" ht="15" hidden="false" customHeight="true" outlineLevel="0" collapsed="false">
      <c r="A21" s="4" t="s">
        <v>59</v>
      </c>
      <c r="B21" s="11" t="n">
        <f aca="false">B18-B9</f>
        <v>-50625</v>
      </c>
      <c r="C21" s="10" t="s">
        <v>36</v>
      </c>
      <c r="D21" s="10" t="s">
        <v>118</v>
      </c>
    </row>
    <row r="22" customFormat="false" ht="15" hidden="false" customHeight="true" outlineLevel="0" collapsed="false">
      <c r="A22" s="4" t="s">
        <v>60</v>
      </c>
      <c r="B22" s="11" t="n">
        <f aca="false">B18-B10</f>
        <v>-100625</v>
      </c>
      <c r="C22" s="10" t="s">
        <v>36</v>
      </c>
      <c r="D22" s="12"/>
    </row>
    <row r="24" customFormat="false" ht="15" hidden="false" customHeight="true" outlineLevel="0" collapsed="false">
      <c r="A24" s="6" t="s">
        <v>61</v>
      </c>
      <c r="B24" s="7"/>
      <c r="C24" s="7"/>
      <c r="D24" s="7"/>
    </row>
    <row r="25" customFormat="false" ht="15" hidden="false" customHeight="true" outlineLevel="0" collapsed="false">
      <c r="A25" s="8" t="s">
        <v>26</v>
      </c>
      <c r="B25" s="8" t="s">
        <v>27</v>
      </c>
      <c r="C25" s="8" t="s">
        <v>28</v>
      </c>
      <c r="D25" s="8" t="s">
        <v>29</v>
      </c>
    </row>
    <row r="26" customFormat="false" ht="15" hidden="false" customHeight="true" outlineLevel="0" collapsed="false">
      <c r="A26" s="4" t="s">
        <v>62</v>
      </c>
      <c r="B26" s="5" t="s">
        <v>63</v>
      </c>
      <c r="C26" s="10" t="s">
        <v>64</v>
      </c>
      <c r="D26" s="10" t="s">
        <v>65</v>
      </c>
    </row>
    <row r="28" customFormat="false" ht="15" hidden="false" customHeight="true" outlineLevel="0" collapsed="false">
      <c r="A28" s="6" t="s">
        <v>66</v>
      </c>
      <c r="B28" s="7"/>
      <c r="C28" s="7"/>
      <c r="D28" s="7"/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28</v>
      </c>
      <c r="D29" s="8" t="s">
        <v>29</v>
      </c>
    </row>
    <row r="30" customFormat="false" ht="15" hidden="false" customHeight="true" outlineLevel="0" collapsed="false">
      <c r="A30" s="4" t="s">
        <v>119</v>
      </c>
      <c r="B30" s="9" t="n">
        <v>60000</v>
      </c>
      <c r="C30" s="10" t="s">
        <v>31</v>
      </c>
      <c r="D30" s="10" t="s">
        <v>120</v>
      </c>
    </row>
    <row r="31" customFormat="false" ht="15" hidden="false" customHeight="true" outlineLevel="0" collapsed="false">
      <c r="A31" s="4" t="s">
        <v>121</v>
      </c>
      <c r="B31" s="9" t="n">
        <v>20000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SUM(B30:B31)</f>
        <v>80000</v>
      </c>
      <c r="C32" s="10" t="s">
        <v>36</v>
      </c>
      <c r="D32" s="12"/>
    </row>
    <row r="33" customFormat="false" ht="15" hidden="false" customHeight="true" outlineLevel="0" collapsed="false">
      <c r="A33" s="4" t="s">
        <v>122</v>
      </c>
      <c r="B33" s="13" t="n">
        <f aca="false">B30/B32</f>
        <v>0.75</v>
      </c>
      <c r="C33" s="10" t="s">
        <v>36</v>
      </c>
      <c r="D33" s="12"/>
    </row>
    <row r="34" customFormat="false" ht="15" hidden="false" customHeight="true" outlineLevel="0" collapsed="false">
      <c r="A34" s="4" t="s">
        <v>123</v>
      </c>
      <c r="B34" s="13" t="n">
        <f aca="false">B31/B32</f>
        <v>0.25</v>
      </c>
      <c r="C34" s="10" t="s">
        <v>36</v>
      </c>
      <c r="D34" s="12"/>
    </row>
    <row r="35" customFormat="false" ht="15" hidden="false" customHeight="true" outlineLevel="0" collapsed="false">
      <c r="A35" s="4" t="s">
        <v>74</v>
      </c>
      <c r="B35" s="5" t="s">
        <v>75</v>
      </c>
      <c r="C35" s="10" t="s">
        <v>31</v>
      </c>
      <c r="D35" s="10" t="s">
        <v>124</v>
      </c>
    </row>
    <row r="37" customFormat="false" ht="15" hidden="false" customHeight="true" outlineLevel="0" collapsed="false">
      <c r="A37" s="6" t="s">
        <v>77</v>
      </c>
      <c r="B37" s="7"/>
      <c r="C37" s="7"/>
      <c r="D37" s="7"/>
    </row>
    <row r="38" customFormat="false" ht="15" hidden="false" customHeight="true" outlineLevel="0" collapsed="false">
      <c r="A38" s="8" t="s">
        <v>26</v>
      </c>
      <c r="B38" s="8" t="s">
        <v>27</v>
      </c>
      <c r="C38" s="8" t="s">
        <v>28</v>
      </c>
      <c r="D38" s="8" t="s">
        <v>29</v>
      </c>
    </row>
    <row r="39" customFormat="false" ht="15" hidden="false" customHeight="true" outlineLevel="0" collapsed="false">
      <c r="A39" s="4" t="s">
        <v>125</v>
      </c>
      <c r="B39" s="9" t="n">
        <v>2183088.49</v>
      </c>
      <c r="C39" s="10" t="s">
        <v>112</v>
      </c>
      <c r="D39" s="12"/>
    </row>
    <row r="40" customFormat="false" ht="15" hidden="false" customHeight="true" outlineLevel="0" collapsed="false">
      <c r="A40" s="4" t="s">
        <v>126</v>
      </c>
      <c r="B40" s="9" t="n">
        <v>1157519.11</v>
      </c>
      <c r="C40" s="10" t="s">
        <v>112</v>
      </c>
      <c r="D40" s="10" t="s">
        <v>127</v>
      </c>
    </row>
    <row r="41" customFormat="false" ht="15" hidden="false" customHeight="true" outlineLevel="0" collapsed="false">
      <c r="A41" s="4" t="s">
        <v>128</v>
      </c>
      <c r="B41" s="9" t="n">
        <v>538013.75</v>
      </c>
      <c r="C41" s="10" t="s">
        <v>112</v>
      </c>
      <c r="D41" s="12"/>
    </row>
    <row r="42" customFormat="false" ht="15" hidden="false" customHeight="true" outlineLevel="0" collapsed="false">
      <c r="A42" s="4" t="s">
        <v>129</v>
      </c>
      <c r="B42" s="9" t="n">
        <v>139351.5</v>
      </c>
      <c r="C42" s="10" t="s">
        <v>112</v>
      </c>
      <c r="D42" s="12"/>
    </row>
    <row r="43" customFormat="false" ht="15" hidden="false" customHeight="true" outlineLevel="0" collapsed="false">
      <c r="A43" s="4" t="s">
        <v>130</v>
      </c>
      <c r="B43" s="9" t="n">
        <v>199375</v>
      </c>
      <c r="C43" s="10" t="s">
        <v>112</v>
      </c>
      <c r="D43" s="10" t="s">
        <v>131</v>
      </c>
    </row>
    <row r="44" customFormat="false" ht="15" hidden="false" customHeight="true" outlineLevel="0" collapsed="false">
      <c r="A44" s="14" t="s">
        <v>84</v>
      </c>
      <c r="B44" s="15" t="n">
        <f aca="false">SUM(B39:B43)</f>
        <v>4217347.85</v>
      </c>
      <c r="C44" s="16" t="s">
        <v>36</v>
      </c>
      <c r="D44" s="17"/>
    </row>
    <row r="45" customFormat="false" ht="15" hidden="false" customHeight="true" outlineLevel="0" collapsed="false">
      <c r="A45" s="4" t="s">
        <v>132</v>
      </c>
      <c r="B45" s="13" t="n">
        <f aca="false">B39/B44</f>
        <v>0.517644872475957</v>
      </c>
      <c r="C45" s="10" t="s">
        <v>36</v>
      </c>
      <c r="D45" s="12"/>
    </row>
    <row r="46" customFormat="false" ht="15" hidden="false" customHeight="true" outlineLevel="0" collapsed="false">
      <c r="A46" s="4" t="s">
        <v>133</v>
      </c>
      <c r="B46" s="13" t="n">
        <f aca="false">B40/B44</f>
        <v>0.274466122115111</v>
      </c>
      <c r="C46" s="10" t="s">
        <v>36</v>
      </c>
      <c r="D46" s="12"/>
    </row>
    <row r="47" customFormat="false" ht="15" hidden="false" customHeight="true" outlineLevel="0" collapsed="false">
      <c r="A47" s="4" t="s">
        <v>134</v>
      </c>
      <c r="B47" s="13" t="n">
        <f aca="false">B41/B44</f>
        <v>0.127571585066193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B42/B44</f>
        <v>0.0330424487038697</v>
      </c>
      <c r="C48" s="10" t="s">
        <v>36</v>
      </c>
      <c r="D48" s="12"/>
    </row>
    <row r="49" customFormat="false" ht="15" hidden="false" customHeight="true" outlineLevel="0" collapsed="false">
      <c r="A49" s="4" t="s">
        <v>135</v>
      </c>
      <c r="B49" s="13" t="n">
        <f aca="false">B43/B44</f>
        <v>0.0472749716388701</v>
      </c>
      <c r="C49" s="10" t="s">
        <v>36</v>
      </c>
      <c r="D49" s="12"/>
    </row>
    <row r="51" customFormat="false" ht="15" hidden="false" customHeight="true" outlineLevel="0" collapsed="false">
      <c r="A51" s="3" t="s">
        <v>136</v>
      </c>
    </row>
    <row r="52" customFormat="false" ht="15" hidden="false" customHeight="true" outlineLevel="0" collapsed="false">
      <c r="A52" s="4" t="s">
        <v>137</v>
      </c>
      <c r="B52" s="9" t="n">
        <v>356040</v>
      </c>
      <c r="C52" s="10" t="s">
        <v>138</v>
      </c>
      <c r="D52" s="12"/>
    </row>
    <row r="53" customFormat="false" ht="15" hidden="false" customHeight="true" outlineLevel="0" collapsed="false">
      <c r="A53" s="4" t="s">
        <v>139</v>
      </c>
      <c r="B53" s="9" t="n">
        <v>125804.4</v>
      </c>
      <c r="C53" s="10" t="s">
        <v>138</v>
      </c>
      <c r="D53" s="12"/>
    </row>
    <row r="54" customFormat="false" ht="15" hidden="false" customHeight="true" outlineLevel="0" collapsed="false">
      <c r="A54" s="4" t="s">
        <v>140</v>
      </c>
      <c r="B54" s="9" t="n">
        <v>56169.35</v>
      </c>
      <c r="C54" s="10" t="s">
        <v>138</v>
      </c>
      <c r="D54" s="12"/>
    </row>
    <row r="55" customFormat="false" ht="15" hidden="false" customHeight="true" outlineLevel="0" collapsed="false">
      <c r="A55" s="4" t="s">
        <v>141</v>
      </c>
      <c r="B55" s="13" t="n">
        <f aca="false">B52/B41</f>
        <v>0.661767473414945</v>
      </c>
      <c r="C55" s="10" t="s">
        <v>36</v>
      </c>
      <c r="D55" s="12"/>
    </row>
    <row r="56" customFormat="false" ht="15" hidden="false" customHeight="true" outlineLevel="0" collapsed="false">
      <c r="A56" s="4" t="s">
        <v>142</v>
      </c>
      <c r="B56" s="13" t="n">
        <f aca="false">B53/B41</f>
        <v>0.233831198552082</v>
      </c>
      <c r="C56" s="10" t="s">
        <v>36</v>
      </c>
      <c r="D56" s="12"/>
    </row>
    <row r="57" customFormat="false" ht="15" hidden="false" customHeight="true" outlineLevel="0" collapsed="false">
      <c r="A57" s="4" t="s">
        <v>143</v>
      </c>
      <c r="B57" s="13" t="n">
        <f aca="false">B54/B41</f>
        <v>0.104401328032973</v>
      </c>
      <c r="C57" s="10" t="s">
        <v>36</v>
      </c>
      <c r="D57" s="12"/>
    </row>
    <row r="58" customFormat="false" ht="15" hidden="false" customHeight="true" outlineLevel="0" collapsed="false">
      <c r="A58" s="4" t="s">
        <v>90</v>
      </c>
      <c r="B58" s="5" t="s">
        <v>75</v>
      </c>
      <c r="C58" s="10" t="s">
        <v>31</v>
      </c>
      <c r="D58" s="10" t="s">
        <v>144</v>
      </c>
    </row>
    <row r="60" customFormat="false" ht="15" hidden="false" customHeight="true" outlineLevel="0" collapsed="false">
      <c r="A60" s="6" t="s">
        <v>92</v>
      </c>
      <c r="B60" s="7"/>
      <c r="C60" s="7"/>
      <c r="D60" s="7"/>
    </row>
    <row r="61" customFormat="false" ht="15" hidden="false" customHeight="true" outlineLevel="0" collapsed="false">
      <c r="A61" s="8" t="s">
        <v>26</v>
      </c>
      <c r="B61" s="8" t="s">
        <v>27</v>
      </c>
      <c r="C61" s="8" t="s">
        <v>28</v>
      </c>
      <c r="D61" s="8" t="s">
        <v>29</v>
      </c>
    </row>
    <row r="62" customFormat="false" ht="15" hidden="false" customHeight="true" outlineLevel="0" collapsed="false">
      <c r="A62" s="4" t="s">
        <v>145</v>
      </c>
      <c r="B62" s="5" t="s">
        <v>146</v>
      </c>
      <c r="C62" s="10" t="s">
        <v>147</v>
      </c>
      <c r="D62" s="10" t="s">
        <v>148</v>
      </c>
    </row>
    <row r="63" customFormat="false" ht="15" hidden="false" customHeight="true" outlineLevel="0" collapsed="false">
      <c r="A63" s="4" t="s">
        <v>149</v>
      </c>
      <c r="B63" s="18" t="n">
        <f aca="true">DATE(2026,9,29)-TODAY()</f>
        <v>47</v>
      </c>
      <c r="C63" s="10" t="s">
        <v>36</v>
      </c>
      <c r="D63" s="12"/>
    </row>
    <row r="64" customFormat="false" ht="15" hidden="false" customHeight="true" outlineLevel="0" collapsed="false">
      <c r="A64" s="4" t="s">
        <v>150</v>
      </c>
      <c r="B64" s="5" t="s">
        <v>151</v>
      </c>
      <c r="C64" s="10" t="s">
        <v>147</v>
      </c>
      <c r="D64" s="10" t="s">
        <v>152</v>
      </c>
    </row>
    <row r="65" customFormat="false" ht="15" hidden="false" customHeight="true" outlineLevel="0" collapsed="false">
      <c r="A65" s="4" t="s">
        <v>149</v>
      </c>
      <c r="B65" s="18" t="n">
        <f aca="true">DATE(2026,8,26)-TODAY()</f>
        <v>13</v>
      </c>
      <c r="C65" s="10" t="s">
        <v>36</v>
      </c>
      <c r="D65" s="10" t="s">
        <v>153</v>
      </c>
    </row>
    <row r="67" customFormat="false" ht="15" hidden="false" customHeight="true" outlineLevel="0" collapsed="false">
      <c r="A67" s="4" t="s">
        <v>96</v>
      </c>
      <c r="B67" s="5" t="s">
        <v>97</v>
      </c>
      <c r="C67" s="10" t="s">
        <v>31</v>
      </c>
      <c r="D67" s="10" t="s">
        <v>154</v>
      </c>
    </row>
    <row r="69" customFormat="false" ht="15" hidden="false" customHeight="true" outlineLevel="0" collapsed="false">
      <c r="A69" s="6" t="s">
        <v>99</v>
      </c>
      <c r="B69" s="7"/>
      <c r="C69" s="7"/>
      <c r="D69" s="7"/>
    </row>
    <row r="70" customFormat="false" ht="15" hidden="false" customHeight="true" outlineLevel="0" collapsed="false">
      <c r="A70" s="8" t="s">
        <v>26</v>
      </c>
      <c r="B70" s="8" t="s">
        <v>27</v>
      </c>
      <c r="C70" s="8" t="s">
        <v>28</v>
      </c>
      <c r="D70" s="8" t="s">
        <v>29</v>
      </c>
    </row>
    <row r="71" customFormat="false" ht="45" hidden="false" customHeight="true" outlineLevel="0" collapsed="false">
      <c r="A71" s="4" t="s">
        <v>155</v>
      </c>
      <c r="B71" s="9" t="n">
        <v>1157519.11</v>
      </c>
      <c r="C71" s="10" t="s">
        <v>31</v>
      </c>
      <c r="D71" s="10" t="s">
        <v>156</v>
      </c>
    </row>
    <row r="72" customFormat="false" ht="15" hidden="false" customHeight="true" outlineLevel="0" collapsed="false">
      <c r="A72" s="4" t="s">
        <v>100</v>
      </c>
      <c r="B72" s="9" t="n">
        <v>-162000</v>
      </c>
      <c r="C72" s="10" t="s">
        <v>157</v>
      </c>
      <c r="D72" s="10" t="s">
        <v>158</v>
      </c>
    </row>
    <row r="73" customFormat="false" ht="15" hidden="false" customHeight="true" outlineLevel="0" collapsed="false">
      <c r="A73" s="4" t="s">
        <v>102</v>
      </c>
      <c r="B73" s="5" t="s">
        <v>103</v>
      </c>
      <c r="C73" s="10" t="s">
        <v>31</v>
      </c>
      <c r="D73" s="10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9" t="s">
        <v>160</v>
      </c>
    </row>
    <row r="2" customFormat="false" ht="15" hidden="false" customHeight="false" outlineLevel="0" collapsed="false">
      <c r="A2" s="20" t="s">
        <v>161</v>
      </c>
    </row>
    <row r="4" customFormat="false" ht="15" hidden="false" customHeight="false" outlineLevel="0" collapsed="false">
      <c r="A4" s="21" t="s">
        <v>162</v>
      </c>
      <c r="B4" s="22"/>
      <c r="C4" s="22"/>
      <c r="D4" s="22"/>
    </row>
    <row r="5" customFormat="false" ht="15" hidden="false" customHeight="false" outlineLevel="0" collapsed="false">
      <c r="A5" s="23" t="s">
        <v>163</v>
      </c>
      <c r="B5" s="23" t="s">
        <v>164</v>
      </c>
      <c r="C5" s="23" t="s">
        <v>27</v>
      </c>
      <c r="D5" s="23" t="s">
        <v>165</v>
      </c>
    </row>
    <row r="6" customFormat="false" ht="15" hidden="false" customHeight="false" outlineLevel="0" collapsed="false">
      <c r="A6" s="24" t="s">
        <v>166</v>
      </c>
      <c r="B6" s="24" t="str">
        <f aca="false">AMS!A41</f>
        <v>Fondo Monetario</v>
      </c>
      <c r="C6" s="25" t="n">
        <f aca="false">AMS!B41</f>
        <v>89230.77</v>
      </c>
      <c r="D6" s="20" t="s">
        <v>167</v>
      </c>
    </row>
    <row r="7" customFormat="false" ht="15" hidden="false" customHeight="false" outlineLevel="0" collapsed="false">
      <c r="A7" s="24" t="s">
        <v>166</v>
      </c>
      <c r="B7" s="24" t="str">
        <f aca="false">AMS!A44</f>
        <v>Liquidez (excluido FM)</v>
      </c>
      <c r="C7" s="25" t="n">
        <f aca="false">AMS!B44</f>
        <v>83100</v>
      </c>
      <c r="D7" s="20" t="s">
        <v>168</v>
      </c>
    </row>
    <row r="8" customFormat="false" ht="15" hidden="false" customHeight="false" outlineLevel="0" collapsed="false">
      <c r="A8" s="26" t="s">
        <v>169</v>
      </c>
      <c r="B8" s="24"/>
      <c r="C8" s="25" t="n">
        <f aca="false">SUM(C6:C7)</f>
        <v>172330.77</v>
      </c>
      <c r="D8" s="20"/>
    </row>
    <row r="9" customFormat="false" ht="15" hidden="false" customHeight="false" outlineLevel="0" collapsed="false">
      <c r="A9" s="24" t="s">
        <v>170</v>
      </c>
      <c r="B9" s="24" t="str">
        <f aca="false">AMS!A40</f>
        <v>SP500 (fondos indexados)</v>
      </c>
      <c r="C9" s="25" t="n">
        <f aca="false">AMS!B40</f>
        <v>872837.88</v>
      </c>
      <c r="D9" s="20" t="s">
        <v>171</v>
      </c>
    </row>
    <row r="10" customFormat="false" ht="15" hidden="false" customHeight="false" outlineLevel="0" collapsed="false">
      <c r="A10" s="26" t="s">
        <v>172</v>
      </c>
      <c r="B10" s="24"/>
      <c r="C10" s="25" t="n">
        <f aca="false">C9</f>
        <v>872837.88</v>
      </c>
      <c r="D10" s="20"/>
    </row>
    <row r="11" customFormat="false" ht="15" hidden="false" customHeight="false" outlineLevel="0" collapsed="false">
      <c r="A11" s="24" t="s">
        <v>173</v>
      </c>
      <c r="B11" s="24" t="str">
        <f aca="false">AMS!A42</f>
        <v>ETF</v>
      </c>
      <c r="C11" s="25" t="n">
        <f aca="false">AMS!B42</f>
        <v>111570.37</v>
      </c>
      <c r="D11" s="20" t="s">
        <v>174</v>
      </c>
    </row>
    <row r="12" customFormat="false" ht="15" hidden="false" customHeight="false" outlineLevel="0" collapsed="false">
      <c r="A12" s="24" t="s">
        <v>173</v>
      </c>
      <c r="B12" s="24" t="str">
        <f aca="false">AMS!A43</f>
        <v>Pisos</v>
      </c>
      <c r="C12" s="25" t="n">
        <f aca="false">AMS!B43</f>
        <v>100000</v>
      </c>
      <c r="D12" s="20" t="s">
        <v>175</v>
      </c>
    </row>
    <row r="13" customFormat="false" ht="15" hidden="false" customHeight="false" outlineLevel="0" collapsed="false">
      <c r="A13" s="26" t="s">
        <v>176</v>
      </c>
      <c r="B13" s="24"/>
      <c r="C13" s="25" t="n">
        <f aca="false">SUM(C11:C12)</f>
        <v>211570.37</v>
      </c>
      <c r="D13" s="20"/>
    </row>
    <row r="15" customFormat="false" ht="15" hidden="false" customHeight="false" outlineLevel="0" collapsed="false">
      <c r="A15" s="26" t="s">
        <v>177</v>
      </c>
      <c r="B15" s="24"/>
      <c r="C15" s="25" t="n">
        <f aca="false">C8+C10+C13</f>
        <v>1256739.02</v>
      </c>
      <c r="D15" s="20"/>
    </row>
    <row r="16" customFormat="false" ht="15" hidden="false" customHeight="false" outlineLevel="0" collapsed="false">
      <c r="A16" s="24" t="s">
        <v>178</v>
      </c>
      <c r="B16" s="24"/>
      <c r="C16" s="25" t="n">
        <f aca="false">C15-AMS!B45</f>
        <v>0</v>
      </c>
      <c r="D16" s="20" t="s">
        <v>179</v>
      </c>
    </row>
    <row r="19" customFormat="false" ht="15" hidden="false" customHeight="false" outlineLevel="0" collapsed="false">
      <c r="A19" s="21" t="s">
        <v>180</v>
      </c>
      <c r="B19" s="22"/>
      <c r="C19" s="22"/>
      <c r="D19" s="22"/>
    </row>
    <row r="20" customFormat="false" ht="15" hidden="false" customHeight="false" outlineLevel="0" collapsed="false">
      <c r="A20" s="23" t="s">
        <v>163</v>
      </c>
      <c r="B20" s="23" t="s">
        <v>164</v>
      </c>
      <c r="C20" s="23" t="s">
        <v>27</v>
      </c>
      <c r="D20" s="23" t="s">
        <v>165</v>
      </c>
    </row>
    <row r="21" customFormat="false" ht="15" hidden="false" customHeight="false" outlineLevel="0" collapsed="false">
      <c r="A21" s="24" t="s">
        <v>166</v>
      </c>
      <c r="B21" s="24" t="str">
        <f aca="false">AML!A43</f>
        <v>Liquidez + Depósitos (excluido FM)</v>
      </c>
      <c r="C21" s="25" t="n">
        <f aca="false">AML!B43</f>
        <v>199375</v>
      </c>
      <c r="D21" s="20" t="s">
        <v>181</v>
      </c>
    </row>
    <row r="22" customFormat="false" ht="15" hidden="false" customHeight="false" outlineLevel="0" collapsed="false">
      <c r="A22" s="26" t="s">
        <v>169</v>
      </c>
      <c r="B22" s="24"/>
      <c r="C22" s="25" t="n">
        <f aca="false">C21</f>
        <v>199375</v>
      </c>
      <c r="D22" s="20"/>
    </row>
    <row r="23" customFormat="false" ht="15" hidden="false" customHeight="false" outlineLevel="0" collapsed="false">
      <c r="A23" s="24" t="s">
        <v>170</v>
      </c>
      <c r="B23" s="24" t="str">
        <f aca="false">AML!A39</f>
        <v>Fondos RV</v>
      </c>
      <c r="C23" s="25" t="n">
        <f aca="false">AML!B39</f>
        <v>2183088.49</v>
      </c>
      <c r="D23" s="20" t="s">
        <v>182</v>
      </c>
    </row>
    <row r="24" customFormat="false" ht="15" hidden="false" customHeight="false" outlineLevel="0" collapsed="false">
      <c r="A24" s="24" t="s">
        <v>170</v>
      </c>
      <c r="B24" s="24" t="str">
        <f aca="false">AML!A40</f>
        <v>Planes de Pensiones (Papá 754.162,54 + Mamá 403.356,58)</v>
      </c>
      <c r="C24" s="25" t="n">
        <f aca="false">AML!B40</f>
        <v>1157519.11</v>
      </c>
      <c r="D24" s="20" t="s">
        <v>183</v>
      </c>
    </row>
    <row r="25" customFormat="false" ht="15" hidden="false" customHeight="false" outlineLevel="0" collapsed="false">
      <c r="A25" s="26" t="s">
        <v>172</v>
      </c>
      <c r="B25" s="24"/>
      <c r="C25" s="25" t="n">
        <f aca="false">SUM(C23:C24)</f>
        <v>3340607.6</v>
      </c>
      <c r="D25" s="20"/>
    </row>
    <row r="26" customFormat="false" ht="15" hidden="false" customHeight="false" outlineLevel="0" collapsed="false">
      <c r="A26" s="24" t="s">
        <v>173</v>
      </c>
      <c r="B26" s="24" t="str">
        <f aca="false">AML!A41</f>
        <v>Acciones (Iberdrola 356.040 + BBVA 125.804,4 + TEF 56.169,35)</v>
      </c>
      <c r="C26" s="25" t="n">
        <f aca="false">AML!B41</f>
        <v>538013.75</v>
      </c>
      <c r="D26" s="20" t="s">
        <v>184</v>
      </c>
    </row>
    <row r="27" customFormat="false" ht="15" hidden="false" customHeight="false" outlineLevel="0" collapsed="false">
      <c r="A27" s="24" t="s">
        <v>173</v>
      </c>
      <c r="B27" s="24" t="str">
        <f aca="false">AML!A42</f>
        <v>ETF (Aristócratas)</v>
      </c>
      <c r="C27" s="25" t="n">
        <f aca="false">AML!B42</f>
        <v>139351.5</v>
      </c>
      <c r="D27" s="20" t="s">
        <v>185</v>
      </c>
    </row>
    <row r="28" customFormat="false" ht="15" hidden="false" customHeight="false" outlineLevel="0" collapsed="false">
      <c r="A28" s="26" t="s">
        <v>176</v>
      </c>
      <c r="B28" s="24"/>
      <c r="C28" s="25" t="n">
        <f aca="false">SUM(C26:C27)</f>
        <v>677365.25</v>
      </c>
      <c r="D28" s="20"/>
    </row>
    <row r="30" customFormat="false" ht="15" hidden="false" customHeight="false" outlineLevel="0" collapsed="false">
      <c r="A30" s="26" t="s">
        <v>186</v>
      </c>
      <c r="B30" s="24"/>
      <c r="C30" s="25" t="n">
        <f aca="false">C22+C25+C28</f>
        <v>4217347.85</v>
      </c>
      <c r="D30" s="20"/>
    </row>
    <row r="31" customFormat="false" ht="15" hidden="false" customHeight="false" outlineLevel="0" collapsed="false">
      <c r="A31" s="24" t="s">
        <v>187</v>
      </c>
      <c r="B31" s="24"/>
      <c r="C31" s="25" t="n">
        <f aca="false">C30-AML!B44</f>
        <v>0</v>
      </c>
      <c r="D31" s="20" t="s">
        <v>188</v>
      </c>
    </row>
    <row r="33" customFormat="false" ht="15" hidden="false" customHeight="false" outlineLevel="0" collapsed="false">
      <c r="A33" s="20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9" t="s">
        <v>190</v>
      </c>
    </row>
    <row r="2" customFormat="false" ht="15" hidden="false" customHeight="false" outlineLevel="0" collapsed="false">
      <c r="A2" s="20" t="s">
        <v>191</v>
      </c>
    </row>
    <row r="4" customFormat="false" ht="15" hidden="false" customHeight="false" outlineLevel="0" collapsed="false">
      <c r="A4" s="21" t="s">
        <v>192</v>
      </c>
      <c r="B4" s="22"/>
      <c r="C4" s="22"/>
      <c r="D4" s="22"/>
    </row>
    <row r="5" customFormat="false" ht="15" hidden="false" customHeight="false" outlineLevel="0" collapsed="false">
      <c r="A5" s="23" t="s">
        <v>26</v>
      </c>
      <c r="B5" s="23" t="s">
        <v>27</v>
      </c>
      <c r="C5" s="23" t="s">
        <v>28</v>
      </c>
      <c r="D5" s="23" t="s">
        <v>29</v>
      </c>
    </row>
    <row r="6" customFormat="false" ht="15" hidden="false" customHeight="false" outlineLevel="0" collapsed="false">
      <c r="A6" s="24" t="s">
        <v>193</v>
      </c>
      <c r="B6" s="27" t="n">
        <v>0.07</v>
      </c>
      <c r="C6" s="20" t="s">
        <v>31</v>
      </c>
      <c r="D6" s="20" t="s">
        <v>194</v>
      </c>
    </row>
    <row r="7" customFormat="false" ht="15" hidden="false" customHeight="false" outlineLevel="0" collapsed="false">
      <c r="A7" s="24" t="s">
        <v>195</v>
      </c>
      <c r="B7" s="27" t="n">
        <v>0.094</v>
      </c>
      <c r="C7" s="20" t="s">
        <v>31</v>
      </c>
      <c r="D7" s="20" t="s">
        <v>196</v>
      </c>
    </row>
    <row r="9" customFormat="false" ht="15" hidden="false" customHeight="false" outlineLevel="0" collapsed="false">
      <c r="A9" s="21" t="s">
        <v>197</v>
      </c>
      <c r="B9" s="22"/>
      <c r="C9" s="22"/>
      <c r="D9" s="22"/>
    </row>
    <row r="10" customFormat="false" ht="15" hidden="false" customHeight="false" outlineLevel="0" collapsed="false">
      <c r="A10" s="23" t="s">
        <v>26</v>
      </c>
      <c r="B10" s="23" t="s">
        <v>27</v>
      </c>
      <c r="C10" s="23" t="s">
        <v>28</v>
      </c>
    </row>
    <row r="11" customFormat="false" ht="15" hidden="false" customHeight="false" outlineLevel="0" collapsed="false">
      <c r="A11" s="24" t="s">
        <v>198</v>
      </c>
      <c r="B11" s="25" t="n">
        <f aca="false">Cajas!C10</f>
        <v>872837.88</v>
      </c>
      <c r="C11" s="20" t="s">
        <v>199</v>
      </c>
    </row>
    <row r="12" customFormat="false" ht="15" hidden="false" customHeight="false" outlineLevel="0" collapsed="false">
      <c r="A12" s="24" t="s">
        <v>200</v>
      </c>
      <c r="B12" s="25" t="n">
        <f aca="false">Cajas!C25</f>
        <v>3340607.6</v>
      </c>
      <c r="C12" s="20" t="s">
        <v>201</v>
      </c>
    </row>
    <row r="14" customFormat="false" ht="15" hidden="false" customHeight="false" outlineLevel="0" collapsed="false">
      <c r="A14" s="21" t="s">
        <v>202</v>
      </c>
      <c r="B14" s="22"/>
      <c r="C14" s="22"/>
      <c r="D14" s="22"/>
    </row>
    <row r="15" customFormat="false" ht="15" hidden="false" customHeight="false" outlineLevel="0" collapsed="false">
      <c r="A15" s="23" t="s">
        <v>203</v>
      </c>
      <c r="B15" s="23" t="s">
        <v>204</v>
      </c>
      <c r="C15" s="23" t="s">
        <v>205</v>
      </c>
    </row>
    <row r="16" customFormat="false" ht="15" hidden="false" customHeight="false" outlineLevel="0" collapsed="false">
      <c r="A16" s="24" t="s">
        <v>206</v>
      </c>
      <c r="B16" s="25" t="n">
        <f aca="false">$B$11*(1+$B$6)^5</f>
        <v>1224200.27921452</v>
      </c>
      <c r="C16" s="25" t="n">
        <f aca="false">$B$11*(1+$B$7)^5</f>
        <v>1367792.42987986</v>
      </c>
    </row>
    <row r="17" customFormat="false" ht="15" hidden="false" customHeight="false" outlineLevel="0" collapsed="false">
      <c r="A17" s="24" t="s">
        <v>207</v>
      </c>
      <c r="B17" s="25" t="n">
        <f aca="false">$B$11*(1+$B$6)^10</f>
        <v>1717004.22033575</v>
      </c>
      <c r="C17" s="25" t="n">
        <f aca="false">$B$11*(1+$B$7)^10</f>
        <v>2143417.6656456</v>
      </c>
    </row>
    <row r="18" customFormat="false" ht="15" hidden="false" customHeight="false" outlineLevel="0" collapsed="false">
      <c r="A18" s="24" t="s">
        <v>208</v>
      </c>
      <c r="B18" s="25" t="n">
        <f aca="false">$B$11*(1+$B$6)^15</f>
        <v>2408187.24085111</v>
      </c>
      <c r="C18" s="25" t="n">
        <f aca="false">$B$11*(1+$B$7)^15</f>
        <v>3358871.70380461</v>
      </c>
    </row>
    <row r="20" customFormat="false" ht="15" hidden="false" customHeight="false" outlineLevel="0" collapsed="false">
      <c r="A20" s="21" t="s">
        <v>209</v>
      </c>
      <c r="B20" s="22"/>
      <c r="C20" s="22"/>
      <c r="D20" s="22"/>
    </row>
    <row r="21" customFormat="false" ht="15" hidden="false" customHeight="false" outlineLevel="0" collapsed="false">
      <c r="A21" s="23" t="s">
        <v>203</v>
      </c>
      <c r="B21" s="23" t="s">
        <v>204</v>
      </c>
      <c r="C21" s="23" t="s">
        <v>205</v>
      </c>
    </row>
    <row r="22" customFormat="false" ht="15" hidden="false" customHeight="false" outlineLevel="0" collapsed="false">
      <c r="A22" s="24" t="s">
        <v>206</v>
      </c>
      <c r="B22" s="25" t="n">
        <f aca="false">$B$12*(1+$B$6)^5</f>
        <v>4685374.97096958</v>
      </c>
      <c r="C22" s="25" t="n">
        <f aca="false">$B$12*(1+$B$7)^5</f>
        <v>5234944.41657267</v>
      </c>
    </row>
    <row r="23" customFormat="false" ht="15" hidden="false" customHeight="false" outlineLevel="0" collapsed="false">
      <c r="A23" s="24" t="s">
        <v>207</v>
      </c>
      <c r="B23" s="25" t="n">
        <f aca="false">$B$12*(1+$B$6)^10</f>
        <v>6571480.77451184</v>
      </c>
      <c r="C23" s="25" t="n">
        <f aca="false">$B$12*(1+$B$7)^10</f>
        <v>8203490.59991523</v>
      </c>
    </row>
    <row r="24" customFormat="false" ht="15" hidden="false" customHeight="false" outlineLevel="0" collapsed="false">
      <c r="A24" s="24" t="s">
        <v>208</v>
      </c>
      <c r="B24" s="25" t="n">
        <f aca="false">$B$12*(1+$B$6)^15</f>
        <v>9216841.73355336</v>
      </c>
      <c r="C24" s="25" t="n">
        <f aca="false">$B$12*(1+$B$7)^15</f>
        <v>12855391.1307729</v>
      </c>
    </row>
    <row r="26" customFormat="false" ht="15" hidden="false" customHeight="false" outlineLevel="0" collapsed="false">
      <c r="A26" s="20" t="s">
        <v>210</v>
      </c>
    </row>
    <row r="27" customFormat="false" ht="15" hidden="false" customHeight="false" outlineLevel="0" collapsed="false">
      <c r="A27" s="20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/>
  <dcterms:modified xsi:type="dcterms:W3CDTF">2026-08-13T10:14:07Z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